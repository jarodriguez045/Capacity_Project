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.rodriguez\Desktop\Github\Capacity_Project\workbooks\"/>
    </mc:Choice>
  </mc:AlternateContent>
  <xr:revisionPtr revIDLastSave="0" documentId="13_ncr:1_{244186BC-35AD-4988-A0E1-03056B920A64}" xr6:coauthVersionLast="45" xr6:coauthVersionMax="45" xr10:uidLastSave="{00000000-0000-0000-0000-000000000000}"/>
  <bookViews>
    <workbookView xWindow="28680" yWindow="-120" windowWidth="29040" windowHeight="15840" xr2:uid="{3E91FC96-CDC0-4D05-9F13-810D12DD9202}"/>
  </bookViews>
  <sheets>
    <sheet name="Data_Entry" sheetId="1" r:id="rId1"/>
    <sheet name="Standard_Data" sheetId="2" r:id="rId2"/>
  </sheets>
  <functionGroups builtInGroupCount="19"/>
  <definedNames>
    <definedName name="_xlnm._FilterDatabase" localSheetId="0" hidden="1">Data_Entry!$D$2:$P$148</definedName>
    <definedName name="_xlcn.WorksheetConnection_CapacityMetrics.xlsxData1" hidden="1">Data[]</definedName>
    <definedName name="_xlcn.WorksheetConnection_CapacityMetrics.xlsxEmployee1" hidden="1">Employee[]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mployee" name="Employee" connection="WorksheetConnection_CapacityMetrics.xlsx!Employee"/>
          <x15:modelTable id="Data" name="Data" connection="WorksheetConnection_CapacityMetrics.xlsx!Data"/>
        </x15:modelTables>
        <x15:modelRelationships>
          <x15:modelRelationship fromTable="Data" fromColumn="Employee" toTable="Employee" toColumn="Initials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5" i="1" l="1"/>
  <c r="K104" i="1"/>
  <c r="K101" i="1"/>
  <c r="K49" i="1"/>
  <c r="K39" i="1"/>
  <c r="K38" i="1"/>
  <c r="K37" i="1"/>
  <c r="K36" i="1"/>
  <c r="O36" i="1"/>
  <c r="B1061" i="1" l="1"/>
  <c r="C1061" i="1"/>
  <c r="K1061" i="1"/>
  <c r="N1061" i="1"/>
  <c r="O1061" i="1"/>
  <c r="B1060" i="1"/>
  <c r="C1060" i="1"/>
  <c r="K1060" i="1"/>
  <c r="N1060" i="1"/>
  <c r="O1060" i="1"/>
  <c r="B1059" i="1"/>
  <c r="C1059" i="1"/>
  <c r="K1059" i="1"/>
  <c r="N1059" i="1"/>
  <c r="O1059" i="1"/>
  <c r="B1058" i="1"/>
  <c r="C1058" i="1"/>
  <c r="K1058" i="1"/>
  <c r="N1058" i="1"/>
  <c r="O1058" i="1"/>
  <c r="B1057" i="1"/>
  <c r="C1057" i="1"/>
  <c r="K1057" i="1"/>
  <c r="N1057" i="1"/>
  <c r="O1057" i="1"/>
  <c r="B1056" i="1"/>
  <c r="C1056" i="1"/>
  <c r="K1056" i="1"/>
  <c r="N1056" i="1"/>
  <c r="O1056" i="1"/>
  <c r="B1055" i="1"/>
  <c r="C1055" i="1"/>
  <c r="K1055" i="1"/>
  <c r="N1055" i="1"/>
  <c r="O1055" i="1"/>
  <c r="B1054" i="1"/>
  <c r="C1054" i="1"/>
  <c r="K1054" i="1"/>
  <c r="N1054" i="1"/>
  <c r="O1054" i="1"/>
  <c r="B1053" i="1"/>
  <c r="C1053" i="1"/>
  <c r="K1053" i="1"/>
  <c r="N1053" i="1"/>
  <c r="O1053" i="1"/>
  <c r="B1052" i="1"/>
  <c r="C1052" i="1"/>
  <c r="K1052" i="1"/>
  <c r="N1052" i="1"/>
  <c r="O1052" i="1"/>
  <c r="B1051" i="1"/>
  <c r="C1051" i="1"/>
  <c r="K1051" i="1"/>
  <c r="N1051" i="1"/>
  <c r="O1051" i="1"/>
  <c r="B1050" i="1"/>
  <c r="C1050" i="1"/>
  <c r="K1050" i="1"/>
  <c r="N1050" i="1"/>
  <c r="O1050" i="1"/>
  <c r="B1049" i="1"/>
  <c r="C1049" i="1"/>
  <c r="K1049" i="1"/>
  <c r="N1049" i="1"/>
  <c r="O1049" i="1"/>
  <c r="B1048" i="1"/>
  <c r="C1048" i="1"/>
  <c r="K1048" i="1"/>
  <c r="N1048" i="1"/>
  <c r="O1048" i="1"/>
  <c r="B1047" i="1"/>
  <c r="C1047" i="1"/>
  <c r="K1047" i="1"/>
  <c r="N1047" i="1"/>
  <c r="O1047" i="1"/>
  <c r="B1046" i="1"/>
  <c r="C1046" i="1"/>
  <c r="K1046" i="1"/>
  <c r="N1046" i="1"/>
  <c r="O1046" i="1"/>
  <c r="B1045" i="1"/>
  <c r="C1045" i="1"/>
  <c r="K1045" i="1"/>
  <c r="N1045" i="1"/>
  <c r="O1045" i="1"/>
  <c r="B1044" i="1"/>
  <c r="C1044" i="1"/>
  <c r="K1044" i="1"/>
  <c r="N1044" i="1"/>
  <c r="O1044" i="1"/>
  <c r="B1043" i="1"/>
  <c r="C1043" i="1"/>
  <c r="K1043" i="1"/>
  <c r="N1043" i="1"/>
  <c r="O1043" i="1"/>
  <c r="B1042" i="1"/>
  <c r="C1042" i="1"/>
  <c r="K1042" i="1"/>
  <c r="N1042" i="1"/>
  <c r="O1042" i="1"/>
  <c r="B1041" i="1"/>
  <c r="C1041" i="1"/>
  <c r="K1041" i="1"/>
  <c r="N1041" i="1"/>
  <c r="O1041" i="1"/>
  <c r="B1040" i="1"/>
  <c r="C1040" i="1"/>
  <c r="K1040" i="1"/>
  <c r="N1040" i="1"/>
  <c r="O1040" i="1"/>
  <c r="B1039" i="1"/>
  <c r="C1039" i="1"/>
  <c r="K1039" i="1"/>
  <c r="N1039" i="1"/>
  <c r="O1039" i="1"/>
  <c r="B1038" i="1"/>
  <c r="C1038" i="1"/>
  <c r="K1038" i="1"/>
  <c r="N1038" i="1"/>
  <c r="O1038" i="1"/>
  <c r="B1037" i="1"/>
  <c r="C1037" i="1"/>
  <c r="K1037" i="1"/>
  <c r="N1037" i="1"/>
  <c r="O1037" i="1"/>
  <c r="B1036" i="1"/>
  <c r="C1036" i="1"/>
  <c r="K1036" i="1"/>
  <c r="N1036" i="1"/>
  <c r="O1036" i="1"/>
  <c r="B1035" i="1"/>
  <c r="C1035" i="1"/>
  <c r="K1035" i="1"/>
  <c r="N1035" i="1"/>
  <c r="O1035" i="1"/>
  <c r="B1034" i="1"/>
  <c r="C1034" i="1"/>
  <c r="K1034" i="1"/>
  <c r="N1034" i="1"/>
  <c r="O1034" i="1"/>
  <c r="B1033" i="1"/>
  <c r="C1033" i="1"/>
  <c r="K1033" i="1"/>
  <c r="N1033" i="1"/>
  <c r="O1033" i="1"/>
  <c r="B1032" i="1"/>
  <c r="C1032" i="1"/>
  <c r="K1032" i="1"/>
  <c r="N1032" i="1"/>
  <c r="O1032" i="1"/>
  <c r="B1031" i="1"/>
  <c r="C1031" i="1"/>
  <c r="K1031" i="1"/>
  <c r="N1031" i="1"/>
  <c r="O1031" i="1"/>
  <c r="B1030" i="1"/>
  <c r="C1030" i="1"/>
  <c r="K1030" i="1"/>
  <c r="N1030" i="1"/>
  <c r="O1030" i="1"/>
  <c r="B1029" i="1"/>
  <c r="C1029" i="1"/>
  <c r="K1029" i="1"/>
  <c r="N1029" i="1"/>
  <c r="O1029" i="1"/>
  <c r="B1028" i="1"/>
  <c r="C1028" i="1"/>
  <c r="K1028" i="1"/>
  <c r="N1028" i="1"/>
  <c r="O1028" i="1"/>
  <c r="B1027" i="1"/>
  <c r="C1027" i="1"/>
  <c r="K1027" i="1"/>
  <c r="N1027" i="1"/>
  <c r="O1027" i="1"/>
  <c r="B1026" i="1"/>
  <c r="C1026" i="1"/>
  <c r="K1026" i="1"/>
  <c r="N1026" i="1"/>
  <c r="O1026" i="1"/>
  <c r="B1025" i="1"/>
  <c r="C1025" i="1"/>
  <c r="K1025" i="1"/>
  <c r="N1025" i="1"/>
  <c r="O1025" i="1"/>
  <c r="B1024" i="1"/>
  <c r="C1024" i="1"/>
  <c r="K1024" i="1"/>
  <c r="N1024" i="1"/>
  <c r="O1024" i="1"/>
  <c r="B1023" i="1"/>
  <c r="C1023" i="1"/>
  <c r="K1023" i="1"/>
  <c r="N1023" i="1"/>
  <c r="O1023" i="1"/>
  <c r="B1022" i="1"/>
  <c r="C1022" i="1"/>
  <c r="K1022" i="1"/>
  <c r="N1022" i="1"/>
  <c r="O1022" i="1"/>
  <c r="B1021" i="1"/>
  <c r="C1021" i="1"/>
  <c r="K1021" i="1"/>
  <c r="N1021" i="1"/>
  <c r="O1021" i="1"/>
  <c r="B1020" i="1"/>
  <c r="C1020" i="1"/>
  <c r="K1020" i="1"/>
  <c r="N1020" i="1"/>
  <c r="O1020" i="1"/>
  <c r="B1019" i="1"/>
  <c r="C1019" i="1"/>
  <c r="K1019" i="1"/>
  <c r="N1019" i="1"/>
  <c r="O1019" i="1"/>
  <c r="B1018" i="1"/>
  <c r="C1018" i="1"/>
  <c r="K1018" i="1"/>
  <c r="N1018" i="1"/>
  <c r="O1018" i="1"/>
  <c r="B1017" i="1"/>
  <c r="C1017" i="1"/>
  <c r="K1017" i="1"/>
  <c r="N1017" i="1"/>
  <c r="O1017" i="1"/>
  <c r="B1016" i="1"/>
  <c r="C1016" i="1"/>
  <c r="K1016" i="1"/>
  <c r="N1016" i="1"/>
  <c r="O1016" i="1"/>
  <c r="B1015" i="1"/>
  <c r="C1015" i="1"/>
  <c r="K1015" i="1"/>
  <c r="N1015" i="1"/>
  <c r="O1015" i="1"/>
  <c r="B1014" i="1"/>
  <c r="C1014" i="1"/>
  <c r="K1014" i="1"/>
  <c r="N1014" i="1"/>
  <c r="O1014" i="1"/>
  <c r="B1013" i="1"/>
  <c r="C1013" i="1"/>
  <c r="K1013" i="1"/>
  <c r="N1013" i="1"/>
  <c r="O1013" i="1"/>
  <c r="B1012" i="1"/>
  <c r="C1012" i="1"/>
  <c r="K1012" i="1"/>
  <c r="N1012" i="1"/>
  <c r="O1012" i="1"/>
  <c r="B1011" i="1"/>
  <c r="C1011" i="1"/>
  <c r="K1011" i="1"/>
  <c r="N1011" i="1"/>
  <c r="O1011" i="1"/>
  <c r="B1010" i="1"/>
  <c r="C1010" i="1"/>
  <c r="K1010" i="1"/>
  <c r="N1010" i="1"/>
  <c r="O1010" i="1"/>
  <c r="B1009" i="1"/>
  <c r="C1009" i="1"/>
  <c r="K1009" i="1"/>
  <c r="N1009" i="1"/>
  <c r="O1009" i="1"/>
  <c r="B1008" i="1"/>
  <c r="C1008" i="1"/>
  <c r="K1008" i="1"/>
  <c r="N1008" i="1"/>
  <c r="O1008" i="1"/>
  <c r="B1007" i="1"/>
  <c r="C1007" i="1"/>
  <c r="K1007" i="1"/>
  <c r="N1007" i="1"/>
  <c r="O1007" i="1"/>
  <c r="B1006" i="1"/>
  <c r="C1006" i="1"/>
  <c r="K1006" i="1"/>
  <c r="N1006" i="1"/>
  <c r="O1006" i="1"/>
  <c r="B1005" i="1"/>
  <c r="C1005" i="1"/>
  <c r="K1005" i="1"/>
  <c r="N1005" i="1"/>
  <c r="O1005" i="1"/>
  <c r="B1004" i="1"/>
  <c r="C1004" i="1"/>
  <c r="K1004" i="1"/>
  <c r="N1004" i="1"/>
  <c r="O1004" i="1"/>
  <c r="B1003" i="1"/>
  <c r="C1003" i="1"/>
  <c r="K1003" i="1"/>
  <c r="O1003" i="1"/>
  <c r="B1002" i="1"/>
  <c r="C1002" i="1"/>
  <c r="K1002" i="1"/>
  <c r="N1002" i="1"/>
  <c r="O1002" i="1"/>
  <c r="B1001" i="1"/>
  <c r="C1001" i="1"/>
  <c r="K1001" i="1"/>
  <c r="N1001" i="1"/>
  <c r="O1001" i="1"/>
  <c r="B1000" i="1"/>
  <c r="C1000" i="1"/>
  <c r="K1000" i="1"/>
  <c r="N1000" i="1"/>
  <c r="O1000" i="1"/>
  <c r="B999" i="1"/>
  <c r="C999" i="1"/>
  <c r="K999" i="1"/>
  <c r="N999" i="1"/>
  <c r="O999" i="1"/>
  <c r="B998" i="1"/>
  <c r="C998" i="1"/>
  <c r="K998" i="1"/>
  <c r="N998" i="1"/>
  <c r="O998" i="1"/>
  <c r="B997" i="1"/>
  <c r="C997" i="1"/>
  <c r="K997" i="1"/>
  <c r="N997" i="1"/>
  <c r="O997" i="1"/>
  <c r="B996" i="1"/>
  <c r="C996" i="1"/>
  <c r="K996" i="1"/>
  <c r="N996" i="1"/>
  <c r="O996" i="1"/>
  <c r="B995" i="1"/>
  <c r="C995" i="1"/>
  <c r="K995" i="1"/>
  <c r="N995" i="1"/>
  <c r="O995" i="1"/>
  <c r="B994" i="1"/>
  <c r="C994" i="1"/>
  <c r="K994" i="1"/>
  <c r="N994" i="1"/>
  <c r="O994" i="1"/>
  <c r="B993" i="1"/>
  <c r="C993" i="1"/>
  <c r="K993" i="1"/>
  <c r="N993" i="1"/>
  <c r="O993" i="1"/>
  <c r="B992" i="1"/>
  <c r="C992" i="1"/>
  <c r="K992" i="1"/>
  <c r="N992" i="1"/>
  <c r="O992" i="1"/>
  <c r="B991" i="1"/>
  <c r="C991" i="1"/>
  <c r="K991" i="1"/>
  <c r="N991" i="1"/>
  <c r="O991" i="1"/>
  <c r="B990" i="1"/>
  <c r="C990" i="1"/>
  <c r="K990" i="1"/>
  <c r="N990" i="1"/>
  <c r="O990" i="1"/>
  <c r="B989" i="1"/>
  <c r="C989" i="1"/>
  <c r="K989" i="1"/>
  <c r="N989" i="1"/>
  <c r="O989" i="1"/>
  <c r="B988" i="1"/>
  <c r="C988" i="1"/>
  <c r="K988" i="1"/>
  <c r="N988" i="1"/>
  <c r="O988" i="1"/>
  <c r="B987" i="1"/>
  <c r="C987" i="1"/>
  <c r="K987" i="1"/>
  <c r="N987" i="1"/>
  <c r="O987" i="1"/>
  <c r="B986" i="1"/>
  <c r="C986" i="1"/>
  <c r="K986" i="1"/>
  <c r="N986" i="1"/>
  <c r="O986" i="1"/>
  <c r="B985" i="1"/>
  <c r="C985" i="1"/>
  <c r="K985" i="1"/>
  <c r="N985" i="1"/>
  <c r="O985" i="1"/>
  <c r="B984" i="1"/>
  <c r="C984" i="1"/>
  <c r="K984" i="1"/>
  <c r="N984" i="1"/>
  <c r="O984" i="1"/>
  <c r="B983" i="1"/>
  <c r="C983" i="1"/>
  <c r="K983" i="1"/>
  <c r="N983" i="1"/>
  <c r="O983" i="1"/>
  <c r="B982" i="1"/>
  <c r="C982" i="1"/>
  <c r="K982" i="1"/>
  <c r="N982" i="1"/>
  <c r="O982" i="1"/>
  <c r="B981" i="1"/>
  <c r="C981" i="1"/>
  <c r="K981" i="1"/>
  <c r="N981" i="1"/>
  <c r="O981" i="1"/>
  <c r="B980" i="1"/>
  <c r="C980" i="1"/>
  <c r="K980" i="1"/>
  <c r="N980" i="1"/>
  <c r="O980" i="1"/>
  <c r="B979" i="1"/>
  <c r="C979" i="1"/>
  <c r="K979" i="1"/>
  <c r="N979" i="1"/>
  <c r="O979" i="1"/>
  <c r="B978" i="1"/>
  <c r="C978" i="1"/>
  <c r="K978" i="1"/>
  <c r="N978" i="1"/>
  <c r="O978" i="1"/>
  <c r="B977" i="1"/>
  <c r="C977" i="1"/>
  <c r="K977" i="1"/>
  <c r="N977" i="1"/>
  <c r="O977" i="1"/>
  <c r="B976" i="1"/>
  <c r="C976" i="1"/>
  <c r="K976" i="1"/>
  <c r="N976" i="1"/>
  <c r="O976" i="1"/>
  <c r="B975" i="1"/>
  <c r="C975" i="1"/>
  <c r="K975" i="1"/>
  <c r="N975" i="1"/>
  <c r="O975" i="1"/>
  <c r="B974" i="1"/>
  <c r="C974" i="1"/>
  <c r="K974" i="1"/>
  <c r="N974" i="1"/>
  <c r="O974" i="1"/>
  <c r="B973" i="1"/>
  <c r="C973" i="1"/>
  <c r="K973" i="1"/>
  <c r="N973" i="1"/>
  <c r="O973" i="1"/>
  <c r="B972" i="1"/>
  <c r="C972" i="1"/>
  <c r="K972" i="1"/>
  <c r="N972" i="1"/>
  <c r="O972" i="1"/>
  <c r="B971" i="1"/>
  <c r="C971" i="1"/>
  <c r="K971" i="1"/>
  <c r="N971" i="1"/>
  <c r="O971" i="1"/>
  <c r="B970" i="1" l="1"/>
  <c r="C970" i="1"/>
  <c r="K970" i="1"/>
  <c r="N970" i="1"/>
  <c r="O970" i="1"/>
  <c r="B969" i="1" l="1"/>
  <c r="C969" i="1"/>
  <c r="K969" i="1"/>
  <c r="N969" i="1"/>
  <c r="O969" i="1"/>
  <c r="B968" i="1"/>
  <c r="C968" i="1"/>
  <c r="K968" i="1"/>
  <c r="N968" i="1"/>
  <c r="O968" i="1"/>
  <c r="B967" i="1"/>
  <c r="C967" i="1"/>
  <c r="K967" i="1"/>
  <c r="N967" i="1"/>
  <c r="O967" i="1"/>
  <c r="B966" i="1"/>
  <c r="C966" i="1"/>
  <c r="K966" i="1"/>
  <c r="N966" i="1"/>
  <c r="O966" i="1"/>
  <c r="B965" i="1"/>
  <c r="C965" i="1"/>
  <c r="K965" i="1"/>
  <c r="N965" i="1"/>
  <c r="O965" i="1"/>
  <c r="B964" i="1"/>
  <c r="C964" i="1"/>
  <c r="K964" i="1"/>
  <c r="N964" i="1"/>
  <c r="O964" i="1"/>
  <c r="B963" i="1"/>
  <c r="C963" i="1"/>
  <c r="K963" i="1"/>
  <c r="N963" i="1"/>
  <c r="O963" i="1"/>
  <c r="B962" i="1"/>
  <c r="C962" i="1"/>
  <c r="K962" i="1"/>
  <c r="N962" i="1"/>
  <c r="O962" i="1"/>
  <c r="B961" i="1"/>
  <c r="C961" i="1"/>
  <c r="K961" i="1"/>
  <c r="N961" i="1"/>
  <c r="O961" i="1"/>
  <c r="B960" i="1"/>
  <c r="C960" i="1"/>
  <c r="K960" i="1"/>
  <c r="N960" i="1"/>
  <c r="O960" i="1"/>
  <c r="B959" i="1"/>
  <c r="C959" i="1"/>
  <c r="K959" i="1"/>
  <c r="N959" i="1"/>
  <c r="O959" i="1"/>
  <c r="B958" i="1"/>
  <c r="C958" i="1"/>
  <c r="K958" i="1"/>
  <c r="N958" i="1"/>
  <c r="O958" i="1"/>
  <c r="B957" i="1" l="1"/>
  <c r="C957" i="1"/>
  <c r="K957" i="1"/>
  <c r="N957" i="1"/>
  <c r="O957" i="1"/>
  <c r="B956" i="1"/>
  <c r="C956" i="1"/>
  <c r="K956" i="1"/>
  <c r="N956" i="1"/>
  <c r="O956" i="1"/>
  <c r="B955" i="1"/>
  <c r="C955" i="1"/>
  <c r="K955" i="1"/>
  <c r="N955" i="1"/>
  <c r="O955" i="1"/>
  <c r="B954" i="1"/>
  <c r="C954" i="1"/>
  <c r="K954" i="1"/>
  <c r="N954" i="1"/>
  <c r="O954" i="1"/>
  <c r="B953" i="1"/>
  <c r="C953" i="1"/>
  <c r="K953" i="1"/>
  <c r="N953" i="1"/>
  <c r="O953" i="1"/>
  <c r="B952" i="1"/>
  <c r="C952" i="1"/>
  <c r="K952" i="1"/>
  <c r="N952" i="1"/>
  <c r="O952" i="1"/>
  <c r="B951" i="1"/>
  <c r="C951" i="1"/>
  <c r="K951" i="1"/>
  <c r="N951" i="1"/>
  <c r="O951" i="1"/>
  <c r="B950" i="1"/>
  <c r="C950" i="1"/>
  <c r="K950" i="1"/>
  <c r="N950" i="1"/>
  <c r="O950" i="1"/>
  <c r="B949" i="1"/>
  <c r="C949" i="1"/>
  <c r="K949" i="1"/>
  <c r="N949" i="1"/>
  <c r="O949" i="1"/>
  <c r="B948" i="1" l="1"/>
  <c r="C948" i="1"/>
  <c r="K948" i="1"/>
  <c r="N948" i="1"/>
  <c r="O948" i="1"/>
  <c r="B947" i="1"/>
  <c r="C947" i="1"/>
  <c r="K947" i="1"/>
  <c r="N947" i="1"/>
  <c r="O947" i="1"/>
  <c r="B946" i="1"/>
  <c r="C946" i="1"/>
  <c r="K946" i="1"/>
  <c r="N946" i="1"/>
  <c r="O946" i="1"/>
  <c r="B945" i="1"/>
  <c r="C945" i="1"/>
  <c r="K945" i="1"/>
  <c r="N945" i="1"/>
  <c r="O945" i="1"/>
  <c r="B944" i="1"/>
  <c r="C944" i="1"/>
  <c r="K944" i="1"/>
  <c r="N944" i="1"/>
  <c r="O944" i="1"/>
  <c r="B943" i="1"/>
  <c r="C943" i="1"/>
  <c r="K943" i="1"/>
  <c r="N943" i="1"/>
  <c r="O943" i="1"/>
  <c r="B942" i="1"/>
  <c r="C942" i="1"/>
  <c r="K942" i="1"/>
  <c r="N942" i="1"/>
  <c r="O942" i="1"/>
  <c r="B941" i="1"/>
  <c r="C941" i="1"/>
  <c r="K941" i="1"/>
  <c r="N941" i="1"/>
  <c r="O941" i="1"/>
  <c r="B940" i="1"/>
  <c r="C940" i="1"/>
  <c r="K940" i="1"/>
  <c r="N940" i="1"/>
  <c r="O940" i="1"/>
  <c r="B939" i="1"/>
  <c r="C939" i="1"/>
  <c r="K939" i="1"/>
  <c r="N939" i="1"/>
  <c r="O939" i="1"/>
  <c r="B938" i="1"/>
  <c r="C938" i="1"/>
  <c r="K938" i="1"/>
  <c r="N938" i="1"/>
  <c r="O938" i="1"/>
  <c r="B937" i="1"/>
  <c r="C937" i="1"/>
  <c r="K937" i="1"/>
  <c r="N937" i="1"/>
  <c r="O937" i="1"/>
  <c r="B936" i="1"/>
  <c r="C936" i="1"/>
  <c r="K936" i="1"/>
  <c r="N936" i="1"/>
  <c r="O936" i="1"/>
  <c r="B935" i="1"/>
  <c r="C935" i="1"/>
  <c r="K935" i="1"/>
  <c r="N935" i="1"/>
  <c r="O935" i="1"/>
  <c r="B934" i="1"/>
  <c r="C934" i="1"/>
  <c r="K934" i="1"/>
  <c r="N934" i="1"/>
  <c r="O934" i="1"/>
  <c r="B933" i="1"/>
  <c r="C933" i="1"/>
  <c r="K933" i="1"/>
  <c r="N933" i="1"/>
  <c r="O933" i="1"/>
  <c r="B932" i="1"/>
  <c r="C932" i="1"/>
  <c r="K932" i="1"/>
  <c r="N932" i="1"/>
  <c r="O932" i="1"/>
  <c r="B931" i="1"/>
  <c r="C931" i="1"/>
  <c r="K931" i="1"/>
  <c r="N931" i="1"/>
  <c r="O931" i="1"/>
  <c r="B930" i="1"/>
  <c r="C930" i="1"/>
  <c r="K930" i="1"/>
  <c r="N930" i="1"/>
  <c r="O930" i="1"/>
  <c r="B929" i="1"/>
  <c r="C929" i="1"/>
  <c r="K929" i="1"/>
  <c r="N929" i="1"/>
  <c r="O929" i="1"/>
  <c r="B928" i="1"/>
  <c r="C928" i="1"/>
  <c r="K928" i="1"/>
  <c r="N928" i="1"/>
  <c r="O928" i="1"/>
  <c r="B927" i="1"/>
  <c r="C927" i="1"/>
  <c r="K927" i="1"/>
  <c r="N927" i="1"/>
  <c r="O927" i="1"/>
  <c r="B926" i="1"/>
  <c r="C926" i="1"/>
  <c r="K926" i="1"/>
  <c r="N926" i="1"/>
  <c r="O926" i="1"/>
  <c r="B925" i="1"/>
  <c r="C925" i="1"/>
  <c r="K925" i="1"/>
  <c r="N925" i="1"/>
  <c r="O925" i="1"/>
  <c r="B924" i="1"/>
  <c r="C924" i="1"/>
  <c r="K924" i="1"/>
  <c r="N924" i="1"/>
  <c r="O924" i="1"/>
  <c r="B923" i="1"/>
  <c r="C923" i="1"/>
  <c r="K923" i="1"/>
  <c r="N923" i="1"/>
  <c r="O923" i="1"/>
  <c r="B922" i="1"/>
  <c r="C922" i="1"/>
  <c r="K922" i="1"/>
  <c r="N922" i="1"/>
  <c r="O922" i="1"/>
  <c r="B921" i="1"/>
  <c r="C921" i="1"/>
  <c r="K921" i="1"/>
  <c r="N921" i="1"/>
  <c r="O921" i="1"/>
  <c r="B920" i="1"/>
  <c r="C920" i="1"/>
  <c r="K920" i="1"/>
  <c r="N920" i="1"/>
  <c r="O920" i="1"/>
  <c r="B919" i="1"/>
  <c r="C919" i="1"/>
  <c r="K919" i="1"/>
  <c r="N919" i="1"/>
  <c r="O919" i="1"/>
  <c r="B918" i="1"/>
  <c r="C918" i="1"/>
  <c r="K918" i="1"/>
  <c r="N918" i="1"/>
  <c r="O918" i="1"/>
  <c r="B917" i="1"/>
  <c r="C917" i="1"/>
  <c r="K917" i="1"/>
  <c r="N917" i="1"/>
  <c r="O917" i="1"/>
  <c r="B916" i="1"/>
  <c r="C916" i="1"/>
  <c r="K916" i="1"/>
  <c r="N916" i="1"/>
  <c r="O916" i="1"/>
  <c r="B915" i="1"/>
  <c r="C915" i="1"/>
  <c r="K915" i="1"/>
  <c r="N915" i="1"/>
  <c r="O915" i="1"/>
  <c r="B914" i="1"/>
  <c r="C914" i="1"/>
  <c r="K914" i="1"/>
  <c r="N914" i="1"/>
  <c r="O914" i="1"/>
  <c r="B913" i="1"/>
  <c r="C913" i="1"/>
  <c r="K913" i="1"/>
  <c r="N913" i="1"/>
  <c r="O913" i="1"/>
  <c r="B912" i="1"/>
  <c r="C912" i="1"/>
  <c r="K912" i="1"/>
  <c r="N912" i="1"/>
  <c r="O912" i="1"/>
  <c r="B911" i="1"/>
  <c r="C911" i="1"/>
  <c r="K911" i="1"/>
  <c r="N911" i="1"/>
  <c r="O911" i="1"/>
  <c r="B910" i="1"/>
  <c r="C910" i="1"/>
  <c r="K910" i="1"/>
  <c r="N910" i="1"/>
  <c r="O910" i="1"/>
  <c r="B909" i="1"/>
  <c r="C909" i="1"/>
  <c r="K909" i="1"/>
  <c r="N909" i="1"/>
  <c r="O909" i="1"/>
  <c r="B908" i="1"/>
  <c r="C908" i="1"/>
  <c r="K908" i="1"/>
  <c r="N908" i="1"/>
  <c r="O908" i="1"/>
  <c r="B907" i="1"/>
  <c r="C907" i="1"/>
  <c r="K907" i="1"/>
  <c r="N907" i="1"/>
  <c r="O907" i="1"/>
  <c r="B906" i="1"/>
  <c r="C906" i="1"/>
  <c r="K906" i="1"/>
  <c r="N906" i="1"/>
  <c r="O906" i="1"/>
  <c r="B905" i="1"/>
  <c r="C905" i="1"/>
  <c r="K905" i="1"/>
  <c r="N905" i="1"/>
  <c r="O905" i="1"/>
  <c r="B904" i="1"/>
  <c r="C904" i="1"/>
  <c r="K904" i="1"/>
  <c r="N904" i="1"/>
  <c r="O904" i="1"/>
  <c r="B903" i="1"/>
  <c r="C903" i="1"/>
  <c r="K903" i="1"/>
  <c r="N903" i="1"/>
  <c r="O903" i="1"/>
  <c r="B902" i="1"/>
  <c r="C902" i="1"/>
  <c r="K902" i="1"/>
  <c r="N902" i="1"/>
  <c r="O902" i="1"/>
  <c r="B901" i="1"/>
  <c r="C901" i="1"/>
  <c r="K901" i="1"/>
  <c r="N901" i="1"/>
  <c r="O901" i="1"/>
  <c r="B900" i="1"/>
  <c r="C900" i="1"/>
  <c r="K900" i="1"/>
  <c r="N900" i="1"/>
  <c r="O900" i="1"/>
  <c r="B899" i="1"/>
  <c r="C899" i="1"/>
  <c r="K899" i="1"/>
  <c r="N899" i="1"/>
  <c r="O899" i="1"/>
  <c r="B898" i="1"/>
  <c r="C898" i="1"/>
  <c r="K898" i="1"/>
  <c r="N898" i="1"/>
  <c r="O898" i="1"/>
  <c r="B897" i="1"/>
  <c r="C897" i="1"/>
  <c r="K897" i="1"/>
  <c r="N897" i="1"/>
  <c r="O897" i="1"/>
  <c r="B896" i="1"/>
  <c r="C896" i="1"/>
  <c r="K896" i="1"/>
  <c r="N896" i="1"/>
  <c r="O896" i="1"/>
  <c r="B895" i="1"/>
  <c r="C895" i="1"/>
  <c r="K895" i="1"/>
  <c r="N895" i="1"/>
  <c r="O895" i="1"/>
  <c r="B894" i="1"/>
  <c r="C894" i="1"/>
  <c r="K894" i="1"/>
  <c r="N894" i="1"/>
  <c r="O894" i="1"/>
  <c r="B893" i="1"/>
  <c r="C893" i="1"/>
  <c r="K893" i="1"/>
  <c r="N893" i="1"/>
  <c r="O893" i="1"/>
  <c r="B892" i="1"/>
  <c r="C892" i="1"/>
  <c r="K892" i="1"/>
  <c r="N892" i="1"/>
  <c r="O892" i="1"/>
  <c r="B891" i="1"/>
  <c r="C891" i="1"/>
  <c r="K891" i="1"/>
  <c r="N891" i="1"/>
  <c r="O891" i="1"/>
  <c r="B890" i="1"/>
  <c r="C890" i="1"/>
  <c r="K890" i="1"/>
  <c r="N890" i="1"/>
  <c r="O890" i="1"/>
  <c r="B889" i="1"/>
  <c r="C889" i="1"/>
  <c r="K889" i="1"/>
  <c r="N889" i="1"/>
  <c r="O889" i="1"/>
  <c r="B888" i="1"/>
  <c r="C888" i="1"/>
  <c r="K888" i="1"/>
  <c r="N888" i="1"/>
  <c r="O888" i="1"/>
  <c r="B887" i="1"/>
  <c r="C887" i="1"/>
  <c r="K887" i="1"/>
  <c r="N887" i="1"/>
  <c r="O887" i="1"/>
  <c r="B886" i="1"/>
  <c r="C886" i="1"/>
  <c r="K886" i="1"/>
  <c r="N886" i="1"/>
  <c r="O886" i="1"/>
  <c r="B885" i="1"/>
  <c r="C885" i="1"/>
  <c r="K885" i="1"/>
  <c r="N885" i="1"/>
  <c r="O885" i="1"/>
  <c r="B884" i="1"/>
  <c r="C884" i="1"/>
  <c r="K884" i="1"/>
  <c r="N884" i="1"/>
  <c r="O884" i="1"/>
  <c r="B883" i="1"/>
  <c r="C883" i="1"/>
  <c r="K883" i="1"/>
  <c r="N883" i="1"/>
  <c r="O883" i="1"/>
  <c r="B882" i="1"/>
  <c r="C882" i="1"/>
  <c r="K882" i="1"/>
  <c r="N882" i="1"/>
  <c r="O882" i="1"/>
  <c r="B881" i="1"/>
  <c r="C881" i="1"/>
  <c r="K881" i="1"/>
  <c r="N881" i="1"/>
  <c r="O881" i="1"/>
  <c r="B880" i="1"/>
  <c r="C880" i="1"/>
  <c r="K880" i="1"/>
  <c r="N880" i="1"/>
  <c r="O880" i="1"/>
  <c r="B879" i="1"/>
  <c r="C879" i="1"/>
  <c r="K879" i="1"/>
  <c r="N879" i="1"/>
  <c r="O879" i="1"/>
  <c r="B878" i="1"/>
  <c r="C878" i="1"/>
  <c r="K878" i="1"/>
  <c r="N878" i="1"/>
  <c r="O878" i="1"/>
  <c r="B877" i="1"/>
  <c r="C877" i="1"/>
  <c r="K877" i="1"/>
  <c r="N877" i="1"/>
  <c r="O877" i="1"/>
  <c r="B876" i="1"/>
  <c r="C876" i="1"/>
  <c r="K876" i="1"/>
  <c r="N876" i="1"/>
  <c r="O876" i="1"/>
  <c r="B875" i="1"/>
  <c r="C875" i="1"/>
  <c r="K875" i="1"/>
  <c r="N875" i="1"/>
  <c r="O875" i="1"/>
  <c r="B874" i="1"/>
  <c r="C874" i="1"/>
  <c r="K874" i="1"/>
  <c r="N874" i="1"/>
  <c r="O874" i="1"/>
  <c r="B873" i="1"/>
  <c r="C873" i="1"/>
  <c r="K873" i="1"/>
  <c r="N873" i="1"/>
  <c r="O873" i="1"/>
  <c r="B872" i="1"/>
  <c r="C872" i="1"/>
  <c r="K872" i="1"/>
  <c r="N872" i="1"/>
  <c r="O872" i="1"/>
  <c r="B871" i="1"/>
  <c r="C871" i="1"/>
  <c r="K871" i="1"/>
  <c r="N871" i="1"/>
  <c r="O871" i="1"/>
  <c r="B870" i="1"/>
  <c r="C870" i="1"/>
  <c r="K870" i="1"/>
  <c r="N870" i="1"/>
  <c r="O870" i="1"/>
  <c r="B869" i="1"/>
  <c r="C869" i="1"/>
  <c r="K869" i="1"/>
  <c r="N869" i="1"/>
  <c r="O869" i="1"/>
  <c r="B868" i="1"/>
  <c r="C868" i="1"/>
  <c r="K868" i="1"/>
  <c r="N868" i="1"/>
  <c r="O868" i="1"/>
  <c r="B867" i="1"/>
  <c r="C867" i="1"/>
  <c r="K867" i="1"/>
  <c r="N867" i="1"/>
  <c r="O867" i="1"/>
  <c r="B866" i="1"/>
  <c r="C866" i="1"/>
  <c r="K866" i="1"/>
  <c r="N866" i="1"/>
  <c r="O866" i="1"/>
  <c r="B865" i="1"/>
  <c r="C865" i="1"/>
  <c r="K865" i="1"/>
  <c r="N865" i="1"/>
  <c r="O865" i="1"/>
  <c r="B864" i="1"/>
  <c r="C864" i="1"/>
  <c r="K864" i="1"/>
  <c r="N864" i="1"/>
  <c r="O864" i="1"/>
  <c r="B863" i="1"/>
  <c r="C863" i="1"/>
  <c r="K863" i="1"/>
  <c r="N863" i="1"/>
  <c r="O863" i="1"/>
  <c r="B862" i="1"/>
  <c r="C862" i="1"/>
  <c r="K862" i="1"/>
  <c r="N862" i="1"/>
  <c r="O862" i="1"/>
  <c r="B861" i="1"/>
  <c r="C861" i="1"/>
  <c r="K861" i="1"/>
  <c r="N861" i="1"/>
  <c r="O861" i="1"/>
  <c r="B860" i="1"/>
  <c r="C860" i="1"/>
  <c r="K860" i="1"/>
  <c r="N860" i="1"/>
  <c r="O860" i="1"/>
  <c r="B859" i="1"/>
  <c r="C859" i="1"/>
  <c r="K859" i="1"/>
  <c r="N859" i="1"/>
  <c r="O859" i="1"/>
  <c r="B858" i="1"/>
  <c r="C858" i="1"/>
  <c r="K858" i="1"/>
  <c r="N858" i="1"/>
  <c r="O858" i="1"/>
  <c r="B857" i="1"/>
  <c r="C857" i="1"/>
  <c r="K857" i="1"/>
  <c r="N857" i="1"/>
  <c r="O857" i="1"/>
  <c r="B856" i="1"/>
  <c r="C856" i="1"/>
  <c r="K856" i="1"/>
  <c r="N856" i="1"/>
  <c r="O856" i="1"/>
  <c r="B855" i="1"/>
  <c r="C855" i="1"/>
  <c r="K855" i="1"/>
  <c r="N855" i="1"/>
  <c r="O855" i="1"/>
  <c r="B854" i="1"/>
  <c r="C854" i="1"/>
  <c r="K854" i="1"/>
  <c r="N854" i="1"/>
  <c r="O854" i="1"/>
  <c r="B853" i="1"/>
  <c r="C853" i="1"/>
  <c r="K853" i="1"/>
  <c r="N853" i="1"/>
  <c r="O853" i="1"/>
  <c r="B852" i="1"/>
  <c r="C852" i="1"/>
  <c r="K852" i="1"/>
  <c r="N852" i="1"/>
  <c r="O852" i="1"/>
  <c r="B851" i="1"/>
  <c r="C851" i="1"/>
  <c r="N851" i="1"/>
  <c r="O851" i="1"/>
  <c r="B850" i="1"/>
  <c r="C850" i="1"/>
  <c r="K850" i="1"/>
  <c r="N850" i="1"/>
  <c r="O850" i="1"/>
  <c r="B849" i="1"/>
  <c r="C849" i="1"/>
  <c r="K849" i="1"/>
  <c r="N849" i="1"/>
  <c r="O849" i="1"/>
  <c r="B848" i="1"/>
  <c r="C848" i="1"/>
  <c r="K848" i="1"/>
  <c r="N848" i="1"/>
  <c r="O848" i="1"/>
  <c r="B847" i="1"/>
  <c r="N847" i="1"/>
  <c r="O847" i="1"/>
  <c r="B846" i="1"/>
  <c r="C846" i="1"/>
  <c r="K846" i="1"/>
  <c r="N846" i="1"/>
  <c r="O846" i="1"/>
  <c r="B845" i="1"/>
  <c r="C845" i="1"/>
  <c r="K845" i="1"/>
  <c r="N845" i="1"/>
  <c r="O845" i="1"/>
  <c r="B844" i="1"/>
  <c r="C844" i="1"/>
  <c r="K844" i="1"/>
  <c r="N844" i="1"/>
  <c r="O844" i="1"/>
  <c r="B843" i="1"/>
  <c r="C843" i="1"/>
  <c r="K843" i="1"/>
  <c r="N843" i="1"/>
  <c r="O843" i="1"/>
  <c r="B842" i="1"/>
  <c r="C842" i="1"/>
  <c r="K842" i="1"/>
  <c r="N842" i="1"/>
  <c r="O842" i="1"/>
  <c r="B841" i="1"/>
  <c r="C841" i="1"/>
  <c r="K841" i="1"/>
  <c r="N841" i="1"/>
  <c r="O841" i="1"/>
  <c r="B840" i="1"/>
  <c r="C840" i="1"/>
  <c r="K840" i="1"/>
  <c r="N840" i="1"/>
  <c r="O840" i="1"/>
  <c r="B839" i="1"/>
  <c r="C839" i="1"/>
  <c r="K839" i="1"/>
  <c r="N839" i="1"/>
  <c r="O839" i="1"/>
  <c r="B838" i="1"/>
  <c r="C838" i="1"/>
  <c r="K838" i="1"/>
  <c r="N838" i="1"/>
  <c r="O838" i="1"/>
  <c r="B837" i="1"/>
  <c r="C837" i="1"/>
  <c r="K837" i="1"/>
  <c r="N837" i="1"/>
  <c r="O837" i="1"/>
  <c r="B836" i="1"/>
  <c r="C836" i="1"/>
  <c r="K836" i="1"/>
  <c r="N836" i="1"/>
  <c r="O836" i="1"/>
  <c r="B835" i="1"/>
  <c r="C835" i="1"/>
  <c r="K835" i="1"/>
  <c r="N835" i="1"/>
  <c r="O835" i="1"/>
  <c r="B834" i="1"/>
  <c r="C834" i="1"/>
  <c r="K834" i="1"/>
  <c r="N834" i="1"/>
  <c r="O834" i="1"/>
  <c r="B833" i="1"/>
  <c r="C833" i="1"/>
  <c r="K829" i="1"/>
  <c r="K830" i="1"/>
  <c r="K831" i="1"/>
  <c r="K832" i="1"/>
  <c r="K833" i="1"/>
  <c r="N829" i="1"/>
  <c r="N830" i="1"/>
  <c r="N831" i="1"/>
  <c r="N832" i="1"/>
  <c r="N833" i="1"/>
  <c r="O829" i="1"/>
  <c r="O830" i="1"/>
  <c r="O831" i="1"/>
  <c r="O832" i="1"/>
  <c r="O833" i="1"/>
  <c r="B828" i="1"/>
  <c r="C828" i="1"/>
  <c r="K828" i="1"/>
  <c r="N828" i="1"/>
  <c r="O828" i="1"/>
  <c r="B827" i="1"/>
  <c r="C827" i="1"/>
  <c r="K827" i="1"/>
  <c r="N827" i="1"/>
  <c r="O827" i="1"/>
  <c r="B826" i="1"/>
  <c r="C826" i="1"/>
  <c r="K826" i="1"/>
  <c r="N826" i="1"/>
  <c r="O826" i="1"/>
  <c r="B825" i="1"/>
  <c r="C825" i="1"/>
  <c r="K825" i="1"/>
  <c r="N825" i="1"/>
  <c r="O825" i="1"/>
  <c r="B824" i="1"/>
  <c r="C824" i="1"/>
  <c r="K824" i="1"/>
  <c r="N824" i="1"/>
  <c r="O824" i="1"/>
  <c r="B812" i="1" l="1"/>
  <c r="B813" i="1"/>
  <c r="B814" i="1"/>
  <c r="B815" i="1"/>
  <c r="B816" i="1"/>
  <c r="B817" i="1"/>
  <c r="B818" i="1"/>
  <c r="B819" i="1"/>
  <c r="B820" i="1"/>
  <c r="B821" i="1"/>
  <c r="B822" i="1"/>
  <c r="B823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B811" i="1"/>
  <c r="C811" i="1"/>
  <c r="K811" i="1"/>
  <c r="N811" i="1"/>
  <c r="O811" i="1"/>
  <c r="B810" i="1" l="1"/>
  <c r="C810" i="1"/>
  <c r="K810" i="1"/>
  <c r="N810" i="1"/>
  <c r="O810" i="1"/>
  <c r="B809" i="1"/>
  <c r="C809" i="1"/>
  <c r="K809" i="1"/>
  <c r="N809" i="1"/>
  <c r="O809" i="1"/>
  <c r="B808" i="1" l="1"/>
  <c r="C808" i="1"/>
  <c r="K808" i="1"/>
  <c r="N808" i="1"/>
  <c r="O808" i="1"/>
  <c r="B807" i="1" l="1"/>
  <c r="C807" i="1"/>
  <c r="N807" i="1"/>
  <c r="O807" i="1"/>
  <c r="B806" i="1"/>
  <c r="C806" i="1"/>
  <c r="K806" i="1"/>
  <c r="N806" i="1"/>
  <c r="O806" i="1"/>
  <c r="C805" i="1" l="1"/>
  <c r="K805" i="1"/>
  <c r="N805" i="1"/>
  <c r="O805" i="1"/>
  <c r="C804" i="1"/>
  <c r="K804" i="1"/>
  <c r="N804" i="1"/>
  <c r="O804" i="1"/>
  <c r="C800" i="1" l="1"/>
  <c r="C801" i="1"/>
  <c r="C802" i="1"/>
  <c r="C803" i="1"/>
  <c r="K800" i="1"/>
  <c r="K801" i="1"/>
  <c r="K802" i="1"/>
  <c r="K803" i="1"/>
  <c r="N800" i="1"/>
  <c r="N801" i="1"/>
  <c r="N802" i="1"/>
  <c r="N803" i="1"/>
  <c r="O800" i="1"/>
  <c r="O801" i="1"/>
  <c r="O802" i="1"/>
  <c r="O803" i="1"/>
  <c r="C799" i="1" l="1"/>
  <c r="K799" i="1"/>
  <c r="N799" i="1"/>
  <c r="O799" i="1"/>
  <c r="C798" i="1"/>
  <c r="K798" i="1"/>
  <c r="N798" i="1"/>
  <c r="O798" i="1"/>
  <c r="C797" i="1"/>
  <c r="K797" i="1"/>
  <c r="N797" i="1"/>
  <c r="O797" i="1"/>
  <c r="C796" i="1"/>
  <c r="K796" i="1"/>
  <c r="N796" i="1"/>
  <c r="O796" i="1"/>
  <c r="C795" i="1"/>
  <c r="K795" i="1"/>
  <c r="N795" i="1"/>
  <c r="O795" i="1"/>
  <c r="C794" i="1" l="1"/>
  <c r="K794" i="1"/>
  <c r="N794" i="1"/>
  <c r="O794" i="1"/>
  <c r="C793" i="1"/>
  <c r="K793" i="1"/>
  <c r="N793" i="1"/>
  <c r="O793" i="1"/>
  <c r="C792" i="1" l="1"/>
  <c r="K792" i="1"/>
  <c r="N792" i="1"/>
  <c r="O792" i="1"/>
  <c r="C791" i="1"/>
  <c r="K791" i="1"/>
  <c r="N791" i="1"/>
  <c r="O791" i="1"/>
  <c r="B788" i="1" l="1"/>
  <c r="B789" i="1"/>
  <c r="B790" i="1"/>
  <c r="C788" i="1"/>
  <c r="C789" i="1"/>
  <c r="C790" i="1"/>
  <c r="K788" i="1"/>
  <c r="K789" i="1"/>
  <c r="K790" i="1"/>
  <c r="N788" i="1"/>
  <c r="N789" i="1"/>
  <c r="N790" i="1"/>
  <c r="O788" i="1"/>
  <c r="O789" i="1"/>
  <c r="O790" i="1"/>
  <c r="C787" i="1" l="1"/>
  <c r="K787" i="1"/>
  <c r="N787" i="1"/>
  <c r="O787" i="1"/>
  <c r="C786" i="1" l="1"/>
  <c r="K786" i="1"/>
  <c r="N786" i="1"/>
  <c r="O786" i="1"/>
  <c r="C785" i="1"/>
  <c r="K785" i="1"/>
  <c r="N785" i="1"/>
  <c r="O785" i="1"/>
  <c r="C784" i="1" l="1"/>
  <c r="K784" i="1"/>
  <c r="N784" i="1"/>
  <c r="O784" i="1"/>
  <c r="C783" i="1"/>
  <c r="K783" i="1"/>
  <c r="N783" i="1"/>
  <c r="O783" i="1"/>
  <c r="C782" i="1"/>
  <c r="K782" i="1"/>
  <c r="N782" i="1"/>
  <c r="O782" i="1"/>
  <c r="C781" i="1"/>
  <c r="K781" i="1"/>
  <c r="N781" i="1"/>
  <c r="O781" i="1"/>
  <c r="C778" i="1"/>
  <c r="C779" i="1"/>
  <c r="C780" i="1"/>
  <c r="K780" i="1"/>
  <c r="N780" i="1"/>
  <c r="O780" i="1"/>
  <c r="K779" i="1"/>
  <c r="N779" i="1"/>
  <c r="O779" i="1"/>
  <c r="K778" i="1"/>
  <c r="N778" i="1"/>
  <c r="O778" i="1"/>
  <c r="B777" i="1" l="1"/>
  <c r="C777" i="1"/>
  <c r="K777" i="1"/>
  <c r="N777" i="1"/>
  <c r="O777" i="1"/>
  <c r="B776" i="1"/>
  <c r="C776" i="1"/>
  <c r="K776" i="1"/>
  <c r="N776" i="1"/>
  <c r="O776" i="1"/>
  <c r="B775" i="1"/>
  <c r="C775" i="1"/>
  <c r="K775" i="1"/>
  <c r="N775" i="1"/>
  <c r="O775" i="1"/>
  <c r="B774" i="1"/>
  <c r="C774" i="1"/>
  <c r="K774" i="1"/>
  <c r="N774" i="1"/>
  <c r="O774" i="1"/>
  <c r="B772" i="1"/>
  <c r="B773" i="1"/>
  <c r="C772" i="1"/>
  <c r="C773" i="1"/>
  <c r="K772" i="1"/>
  <c r="K773" i="1"/>
  <c r="N772" i="1"/>
  <c r="N773" i="1"/>
  <c r="O772" i="1"/>
  <c r="O773" i="1"/>
  <c r="B771" i="1"/>
  <c r="C771" i="1"/>
  <c r="K771" i="1"/>
  <c r="N771" i="1"/>
  <c r="O771" i="1"/>
  <c r="B770" i="1"/>
  <c r="C770" i="1"/>
  <c r="K770" i="1"/>
  <c r="N770" i="1"/>
  <c r="O770" i="1"/>
  <c r="B769" i="1"/>
  <c r="C769" i="1"/>
  <c r="K769" i="1"/>
  <c r="N769" i="1"/>
  <c r="O769" i="1"/>
  <c r="B763" i="1"/>
  <c r="B764" i="1"/>
  <c r="B765" i="1"/>
  <c r="B766" i="1"/>
  <c r="B767" i="1"/>
  <c r="B768" i="1"/>
  <c r="C763" i="1"/>
  <c r="C764" i="1"/>
  <c r="C765" i="1"/>
  <c r="C766" i="1"/>
  <c r="C767" i="1"/>
  <c r="C768" i="1"/>
  <c r="K763" i="1"/>
  <c r="K764" i="1"/>
  <c r="K765" i="1"/>
  <c r="K766" i="1"/>
  <c r="K767" i="1"/>
  <c r="K768" i="1"/>
  <c r="N763" i="1"/>
  <c r="N765" i="1"/>
  <c r="N766" i="1"/>
  <c r="N767" i="1"/>
  <c r="N768" i="1"/>
  <c r="O763" i="1"/>
  <c r="O764" i="1"/>
  <c r="O765" i="1"/>
  <c r="O766" i="1"/>
  <c r="O767" i="1"/>
  <c r="O768" i="1"/>
  <c r="B762" i="1"/>
  <c r="C762" i="1"/>
  <c r="K762" i="1"/>
  <c r="N762" i="1"/>
  <c r="O762" i="1"/>
  <c r="B760" i="1"/>
  <c r="B761" i="1"/>
  <c r="C760" i="1"/>
  <c r="C761" i="1"/>
  <c r="K760" i="1"/>
  <c r="K761" i="1"/>
  <c r="N760" i="1"/>
  <c r="N761" i="1"/>
  <c r="O760" i="1"/>
  <c r="O761" i="1"/>
  <c r="B759" i="1"/>
  <c r="C759" i="1"/>
  <c r="K759" i="1"/>
  <c r="N759" i="1"/>
  <c r="O759" i="1"/>
  <c r="B758" i="1"/>
  <c r="C758" i="1"/>
  <c r="K758" i="1"/>
  <c r="N758" i="1"/>
  <c r="O758" i="1"/>
  <c r="B757" i="1"/>
  <c r="C757" i="1"/>
  <c r="K757" i="1"/>
  <c r="N757" i="1"/>
  <c r="O757" i="1"/>
  <c r="B755" i="1"/>
  <c r="B756" i="1"/>
  <c r="C755" i="1"/>
  <c r="C756" i="1"/>
  <c r="K755" i="1"/>
  <c r="K756" i="1"/>
  <c r="N755" i="1"/>
  <c r="N756" i="1"/>
  <c r="O755" i="1"/>
  <c r="O756" i="1"/>
  <c r="B751" i="1"/>
  <c r="B752" i="1"/>
  <c r="B753" i="1"/>
  <c r="B754" i="1"/>
  <c r="C751" i="1"/>
  <c r="C752" i="1"/>
  <c r="C753" i="1"/>
  <c r="C754" i="1"/>
  <c r="K751" i="1"/>
  <c r="K752" i="1"/>
  <c r="K753" i="1"/>
  <c r="K754" i="1"/>
  <c r="N751" i="1"/>
  <c r="N752" i="1"/>
  <c r="N753" i="1"/>
  <c r="N754" i="1"/>
  <c r="O751" i="1"/>
  <c r="O752" i="1"/>
  <c r="O753" i="1"/>
  <c r="O754" i="1"/>
  <c r="B750" i="1"/>
  <c r="C750" i="1"/>
  <c r="K750" i="1"/>
  <c r="N750" i="1"/>
  <c r="O750" i="1"/>
  <c r="B746" i="1"/>
  <c r="B747" i="1"/>
  <c r="B748" i="1"/>
  <c r="B749" i="1"/>
  <c r="C746" i="1"/>
  <c r="C747" i="1"/>
  <c r="C748" i="1"/>
  <c r="C749" i="1"/>
  <c r="K746" i="1"/>
  <c r="K747" i="1"/>
  <c r="K748" i="1"/>
  <c r="K749" i="1"/>
  <c r="N746" i="1"/>
  <c r="N747" i="1"/>
  <c r="N748" i="1"/>
  <c r="N749" i="1"/>
  <c r="O746" i="1"/>
  <c r="O747" i="1"/>
  <c r="O748" i="1"/>
  <c r="O749" i="1"/>
  <c r="B745" i="1"/>
  <c r="C745" i="1"/>
  <c r="K745" i="1"/>
  <c r="N745" i="1"/>
  <c r="O745" i="1"/>
  <c r="B742" i="1"/>
  <c r="B743" i="1"/>
  <c r="B744" i="1"/>
  <c r="C742" i="1"/>
  <c r="C743" i="1"/>
  <c r="C744" i="1"/>
  <c r="K742" i="1"/>
  <c r="K743" i="1"/>
  <c r="K744" i="1"/>
  <c r="N742" i="1"/>
  <c r="N743" i="1"/>
  <c r="N744" i="1"/>
  <c r="O742" i="1"/>
  <c r="O743" i="1"/>
  <c r="O744" i="1"/>
  <c r="B741" i="1"/>
  <c r="C741" i="1"/>
  <c r="K741" i="1"/>
  <c r="N741" i="1"/>
  <c r="O741" i="1"/>
  <c r="B738" i="1"/>
  <c r="B739" i="1"/>
  <c r="B740" i="1"/>
  <c r="C738" i="1"/>
  <c r="C739" i="1"/>
  <c r="C740" i="1"/>
  <c r="K738" i="1"/>
  <c r="K739" i="1"/>
  <c r="K740" i="1"/>
  <c r="N738" i="1"/>
  <c r="N739" i="1"/>
  <c r="N740" i="1"/>
  <c r="O738" i="1"/>
  <c r="O739" i="1"/>
  <c r="O740" i="1"/>
  <c r="B737" i="1"/>
  <c r="C737" i="1"/>
  <c r="K737" i="1"/>
  <c r="N737" i="1"/>
  <c r="O737" i="1"/>
  <c r="B734" i="1"/>
  <c r="B735" i="1"/>
  <c r="B736" i="1"/>
  <c r="C734" i="1"/>
  <c r="C735" i="1"/>
  <c r="C736" i="1"/>
  <c r="K734" i="1"/>
  <c r="K735" i="1"/>
  <c r="K736" i="1"/>
  <c r="N734" i="1"/>
  <c r="N735" i="1"/>
  <c r="N736" i="1"/>
  <c r="O734" i="1"/>
  <c r="O735" i="1"/>
  <c r="O736" i="1"/>
  <c r="B733" i="1"/>
  <c r="C733" i="1"/>
  <c r="K733" i="1"/>
  <c r="N733" i="1"/>
  <c r="O733" i="1"/>
  <c r="B730" i="1"/>
  <c r="B731" i="1"/>
  <c r="B732" i="1"/>
  <c r="C730" i="1"/>
  <c r="C731" i="1"/>
  <c r="C732" i="1"/>
  <c r="K730" i="1"/>
  <c r="K731" i="1"/>
  <c r="K732" i="1"/>
  <c r="N730" i="1"/>
  <c r="N731" i="1"/>
  <c r="N732" i="1"/>
  <c r="O730" i="1"/>
  <c r="O731" i="1"/>
  <c r="O732" i="1"/>
  <c r="B727" i="1"/>
  <c r="B728" i="1"/>
  <c r="B729" i="1"/>
  <c r="C727" i="1"/>
  <c r="C728" i="1"/>
  <c r="C729" i="1"/>
  <c r="K727" i="1"/>
  <c r="K728" i="1"/>
  <c r="K729" i="1"/>
  <c r="N727" i="1"/>
  <c r="N728" i="1"/>
  <c r="N729" i="1"/>
  <c r="O727" i="1"/>
  <c r="O728" i="1"/>
  <c r="O729" i="1"/>
  <c r="B726" i="1"/>
  <c r="C726" i="1"/>
  <c r="K726" i="1"/>
  <c r="N726" i="1"/>
  <c r="O726" i="1"/>
  <c r="B725" i="1"/>
  <c r="C725" i="1"/>
  <c r="K725" i="1"/>
  <c r="N725" i="1"/>
  <c r="O725" i="1"/>
  <c r="B723" i="1"/>
  <c r="B724" i="1"/>
  <c r="C723" i="1"/>
  <c r="C724" i="1"/>
  <c r="K723" i="1"/>
  <c r="K724" i="1"/>
  <c r="N723" i="1"/>
  <c r="N724" i="1"/>
  <c r="O723" i="1"/>
  <c r="O724" i="1"/>
  <c r="B722" i="1"/>
  <c r="C722" i="1"/>
  <c r="K722" i="1"/>
  <c r="N722" i="1"/>
  <c r="O722" i="1"/>
  <c r="B719" i="1"/>
  <c r="B720" i="1"/>
  <c r="B721" i="1"/>
  <c r="C719" i="1"/>
  <c r="C720" i="1"/>
  <c r="C721" i="1"/>
  <c r="K719" i="1"/>
  <c r="K720" i="1"/>
  <c r="K721" i="1"/>
  <c r="N719" i="1"/>
  <c r="N720" i="1"/>
  <c r="N721" i="1"/>
  <c r="O719" i="1"/>
  <c r="O720" i="1"/>
  <c r="O721" i="1"/>
  <c r="B718" i="1"/>
  <c r="C718" i="1"/>
  <c r="K718" i="1"/>
  <c r="N718" i="1"/>
  <c r="O718" i="1"/>
  <c r="B717" i="1"/>
  <c r="C717" i="1"/>
  <c r="K717" i="1"/>
  <c r="N717" i="1"/>
  <c r="O717" i="1"/>
  <c r="B715" i="1"/>
  <c r="B716" i="1"/>
  <c r="C715" i="1"/>
  <c r="C716" i="1"/>
  <c r="K715" i="1"/>
  <c r="K716" i="1"/>
  <c r="N715" i="1"/>
  <c r="N716" i="1"/>
  <c r="O715" i="1"/>
  <c r="O716" i="1"/>
  <c r="B714" i="1"/>
  <c r="C714" i="1"/>
  <c r="K714" i="1"/>
  <c r="N714" i="1"/>
  <c r="O714" i="1"/>
  <c r="B710" i="1"/>
  <c r="B711" i="1"/>
  <c r="B712" i="1"/>
  <c r="B713" i="1"/>
  <c r="C710" i="1"/>
  <c r="C711" i="1"/>
  <c r="C712" i="1"/>
  <c r="C713" i="1"/>
  <c r="K710" i="1"/>
  <c r="K711" i="1"/>
  <c r="K712" i="1"/>
  <c r="K713" i="1"/>
  <c r="N710" i="1"/>
  <c r="N711" i="1"/>
  <c r="N712" i="1"/>
  <c r="N713" i="1"/>
  <c r="O710" i="1"/>
  <c r="O711" i="1"/>
  <c r="O712" i="1"/>
  <c r="O713" i="1"/>
  <c r="B709" i="1"/>
  <c r="C709" i="1"/>
  <c r="K709" i="1"/>
  <c r="N709" i="1"/>
  <c r="O709" i="1"/>
  <c r="B708" i="1"/>
  <c r="C708" i="1"/>
  <c r="K708" i="1"/>
  <c r="N708" i="1"/>
  <c r="O708" i="1"/>
  <c r="B705" i="1"/>
  <c r="B706" i="1"/>
  <c r="B707" i="1"/>
  <c r="C705" i="1"/>
  <c r="C706" i="1"/>
  <c r="C707" i="1"/>
  <c r="K705" i="1"/>
  <c r="K706" i="1"/>
  <c r="K707" i="1"/>
  <c r="N705" i="1"/>
  <c r="N706" i="1"/>
  <c r="N707" i="1"/>
  <c r="O705" i="1"/>
  <c r="O706" i="1"/>
  <c r="O707" i="1"/>
  <c r="B704" i="1"/>
  <c r="C704" i="1"/>
  <c r="K704" i="1"/>
  <c r="N704" i="1"/>
  <c r="O704" i="1"/>
  <c r="B702" i="1"/>
  <c r="B703" i="1"/>
  <c r="C702" i="1"/>
  <c r="C703" i="1"/>
  <c r="K702" i="1"/>
  <c r="K703" i="1"/>
  <c r="N702" i="1"/>
  <c r="N703" i="1"/>
  <c r="O702" i="1"/>
  <c r="O703" i="1"/>
  <c r="B701" i="1"/>
  <c r="C701" i="1"/>
  <c r="K701" i="1"/>
  <c r="N701" i="1"/>
  <c r="O701" i="1"/>
  <c r="B700" i="1"/>
  <c r="C700" i="1"/>
  <c r="K700" i="1"/>
  <c r="N700" i="1"/>
  <c r="O700" i="1"/>
  <c r="B699" i="1"/>
  <c r="C699" i="1"/>
  <c r="K699" i="1"/>
  <c r="N699" i="1"/>
  <c r="O699" i="1"/>
  <c r="B695" i="1"/>
  <c r="B696" i="1"/>
  <c r="B697" i="1"/>
  <c r="B698" i="1"/>
  <c r="C695" i="1"/>
  <c r="C696" i="1"/>
  <c r="C697" i="1"/>
  <c r="C698" i="1"/>
  <c r="K695" i="1"/>
  <c r="K696" i="1"/>
  <c r="K697" i="1"/>
  <c r="K698" i="1"/>
  <c r="N695" i="1"/>
  <c r="N696" i="1"/>
  <c r="N697" i="1"/>
  <c r="N698" i="1"/>
  <c r="O695" i="1"/>
  <c r="O696" i="1"/>
  <c r="O697" i="1"/>
  <c r="O698" i="1"/>
  <c r="B694" i="1"/>
  <c r="C694" i="1"/>
  <c r="K694" i="1"/>
  <c r="N694" i="1"/>
  <c r="O694" i="1"/>
  <c r="B691" i="1"/>
  <c r="B692" i="1"/>
  <c r="B693" i="1"/>
  <c r="C691" i="1"/>
  <c r="C692" i="1"/>
  <c r="C693" i="1"/>
  <c r="K691" i="1"/>
  <c r="K692" i="1"/>
  <c r="K693" i="1"/>
  <c r="N691" i="1"/>
  <c r="N692" i="1"/>
  <c r="N693" i="1"/>
  <c r="O691" i="1"/>
  <c r="O692" i="1"/>
  <c r="O693" i="1"/>
  <c r="B688" i="1"/>
  <c r="B689" i="1"/>
  <c r="B690" i="1"/>
  <c r="C688" i="1"/>
  <c r="C689" i="1"/>
  <c r="C690" i="1"/>
  <c r="K688" i="1"/>
  <c r="K689" i="1"/>
  <c r="K690" i="1"/>
  <c r="N688" i="1"/>
  <c r="N689" i="1"/>
  <c r="N690" i="1"/>
  <c r="O688" i="1"/>
  <c r="O689" i="1"/>
  <c r="O690" i="1"/>
  <c r="B687" i="1"/>
  <c r="C687" i="1"/>
  <c r="K687" i="1"/>
  <c r="N687" i="1"/>
  <c r="O687" i="1"/>
  <c r="B686" i="1"/>
  <c r="C686" i="1"/>
  <c r="K686" i="1"/>
  <c r="N686" i="1"/>
  <c r="O686" i="1"/>
  <c r="B685" i="1"/>
  <c r="C685" i="1"/>
  <c r="K685" i="1"/>
  <c r="N685" i="1"/>
  <c r="O685" i="1"/>
  <c r="B681" i="1"/>
  <c r="B682" i="1"/>
  <c r="B683" i="1"/>
  <c r="B684" i="1"/>
  <c r="C681" i="1"/>
  <c r="C682" i="1"/>
  <c r="C683" i="1"/>
  <c r="C684" i="1"/>
  <c r="K681" i="1"/>
  <c r="K682" i="1"/>
  <c r="K683" i="1"/>
  <c r="K684" i="1"/>
  <c r="N681" i="1"/>
  <c r="N682" i="1"/>
  <c r="N683" i="1"/>
  <c r="N684" i="1"/>
  <c r="O681" i="1"/>
  <c r="O682" i="1"/>
  <c r="O683" i="1"/>
  <c r="O684" i="1"/>
  <c r="B678" i="1"/>
  <c r="B679" i="1"/>
  <c r="B680" i="1"/>
  <c r="C678" i="1"/>
  <c r="C679" i="1"/>
  <c r="C680" i="1"/>
  <c r="K678" i="1"/>
  <c r="K679" i="1"/>
  <c r="K680" i="1"/>
  <c r="N678" i="1"/>
  <c r="N679" i="1"/>
  <c r="N680" i="1"/>
  <c r="O678" i="1"/>
  <c r="O679" i="1"/>
  <c r="O680" i="1"/>
  <c r="B677" i="1"/>
  <c r="C677" i="1"/>
  <c r="K677" i="1"/>
  <c r="N677" i="1"/>
  <c r="O677" i="1"/>
  <c r="B676" i="1"/>
  <c r="C676" i="1"/>
  <c r="K676" i="1"/>
  <c r="N676" i="1"/>
  <c r="O676" i="1"/>
  <c r="B673" i="1"/>
  <c r="B674" i="1"/>
  <c r="B675" i="1"/>
  <c r="C673" i="1"/>
  <c r="C674" i="1"/>
  <c r="C675" i="1"/>
  <c r="K673" i="1"/>
  <c r="K674" i="1"/>
  <c r="K675" i="1"/>
  <c r="N673" i="1"/>
  <c r="N674" i="1"/>
  <c r="N675" i="1"/>
  <c r="O673" i="1"/>
  <c r="O674" i="1"/>
  <c r="O675" i="1"/>
  <c r="B671" i="1"/>
  <c r="B672" i="1"/>
  <c r="C671" i="1"/>
  <c r="C672" i="1"/>
  <c r="K671" i="1"/>
  <c r="K672" i="1"/>
  <c r="N671" i="1"/>
  <c r="N672" i="1"/>
  <c r="O671" i="1"/>
  <c r="O672" i="1"/>
  <c r="B670" i="1"/>
  <c r="C670" i="1"/>
  <c r="K670" i="1"/>
  <c r="N670" i="1"/>
  <c r="O670" i="1"/>
  <c r="B669" i="1"/>
  <c r="C669" i="1"/>
  <c r="K669" i="1"/>
  <c r="N669" i="1"/>
  <c r="O669" i="1"/>
  <c r="B668" i="1"/>
  <c r="C668" i="1"/>
  <c r="K668" i="1"/>
  <c r="N668" i="1"/>
  <c r="O668" i="1"/>
  <c r="B667" i="1"/>
  <c r="C667" i="1"/>
  <c r="K667" i="1"/>
  <c r="N667" i="1"/>
  <c r="O667" i="1"/>
  <c r="B666" i="1"/>
  <c r="C666" i="1"/>
  <c r="K666" i="1"/>
  <c r="N666" i="1"/>
  <c r="O666" i="1"/>
  <c r="B665" i="1"/>
  <c r="C665" i="1"/>
  <c r="K665" i="1"/>
  <c r="N665" i="1"/>
  <c r="O665" i="1"/>
  <c r="B662" i="1"/>
  <c r="B663" i="1"/>
  <c r="B664" i="1"/>
  <c r="C662" i="1"/>
  <c r="C663" i="1"/>
  <c r="C664" i="1"/>
  <c r="K662" i="1"/>
  <c r="K663" i="1"/>
  <c r="K664" i="1"/>
  <c r="N662" i="1"/>
  <c r="N663" i="1"/>
  <c r="N664" i="1"/>
  <c r="O662" i="1"/>
  <c r="O663" i="1"/>
  <c r="O664" i="1"/>
  <c r="B661" i="1"/>
  <c r="C661" i="1"/>
  <c r="K661" i="1"/>
  <c r="N661" i="1"/>
  <c r="O661" i="1"/>
  <c r="B660" i="1"/>
  <c r="C660" i="1"/>
  <c r="K660" i="1"/>
  <c r="N660" i="1"/>
  <c r="O660" i="1"/>
  <c r="B659" i="1"/>
  <c r="C659" i="1"/>
  <c r="K659" i="1"/>
  <c r="N659" i="1"/>
  <c r="O659" i="1"/>
  <c r="B658" i="1"/>
  <c r="C658" i="1"/>
  <c r="K658" i="1"/>
  <c r="N658" i="1"/>
  <c r="O658" i="1"/>
  <c r="B656" i="1"/>
  <c r="B657" i="1"/>
  <c r="C656" i="1"/>
  <c r="C657" i="1"/>
  <c r="K656" i="1"/>
  <c r="K657" i="1"/>
  <c r="N656" i="1"/>
  <c r="N657" i="1"/>
  <c r="O656" i="1"/>
  <c r="O657" i="1"/>
  <c r="B655" i="1"/>
  <c r="C655" i="1"/>
  <c r="K655" i="1"/>
  <c r="N655" i="1"/>
  <c r="O655" i="1"/>
  <c r="B654" i="1"/>
  <c r="C654" i="1"/>
  <c r="K654" i="1"/>
  <c r="N654" i="1"/>
  <c r="O654" i="1"/>
  <c r="B653" i="1"/>
  <c r="C653" i="1"/>
  <c r="K653" i="1"/>
  <c r="N653" i="1"/>
  <c r="O653" i="1"/>
  <c r="B651" i="1"/>
  <c r="B652" i="1"/>
  <c r="C651" i="1"/>
  <c r="C652" i="1"/>
  <c r="K651" i="1"/>
  <c r="K652" i="1"/>
  <c r="N651" i="1"/>
  <c r="N652" i="1"/>
  <c r="O651" i="1"/>
  <c r="O652" i="1"/>
  <c r="B649" i="1"/>
  <c r="B650" i="1"/>
  <c r="C649" i="1"/>
  <c r="C650" i="1"/>
  <c r="K649" i="1"/>
  <c r="K650" i="1"/>
  <c r="N649" i="1"/>
  <c r="N650" i="1"/>
  <c r="O649" i="1"/>
  <c r="O650" i="1"/>
  <c r="B648" i="1"/>
  <c r="C648" i="1"/>
  <c r="K648" i="1"/>
  <c r="N648" i="1"/>
  <c r="O648" i="1"/>
  <c r="B646" i="1"/>
  <c r="B647" i="1"/>
  <c r="C646" i="1"/>
  <c r="C647" i="1"/>
  <c r="K646" i="1"/>
  <c r="K647" i="1"/>
  <c r="N646" i="1"/>
  <c r="N647" i="1"/>
  <c r="O646" i="1"/>
  <c r="O647" i="1"/>
  <c r="B645" i="1"/>
  <c r="C645" i="1"/>
  <c r="K645" i="1"/>
  <c r="N645" i="1"/>
  <c r="O645" i="1"/>
  <c r="B644" i="1"/>
  <c r="C644" i="1"/>
  <c r="K644" i="1"/>
  <c r="N644" i="1"/>
  <c r="O644" i="1"/>
  <c r="B643" i="1"/>
  <c r="C643" i="1"/>
  <c r="K643" i="1"/>
  <c r="N643" i="1"/>
  <c r="O643" i="1"/>
  <c r="B642" i="1"/>
  <c r="C642" i="1"/>
  <c r="K642" i="1"/>
  <c r="N642" i="1"/>
  <c r="O642" i="1"/>
  <c r="B641" i="1"/>
  <c r="C641" i="1"/>
  <c r="K641" i="1"/>
  <c r="N641" i="1"/>
  <c r="O641" i="1"/>
  <c r="B640" i="1" l="1"/>
  <c r="C640" i="1"/>
  <c r="K640" i="1"/>
  <c r="N640" i="1"/>
  <c r="O640" i="1"/>
  <c r="B637" i="1"/>
  <c r="B638" i="1"/>
  <c r="B639" i="1"/>
  <c r="C637" i="1"/>
  <c r="C638" i="1"/>
  <c r="C639" i="1"/>
  <c r="K637" i="1"/>
  <c r="K638" i="1"/>
  <c r="K639" i="1"/>
  <c r="N637" i="1"/>
  <c r="N638" i="1"/>
  <c r="N639" i="1"/>
  <c r="O637" i="1"/>
  <c r="O638" i="1"/>
  <c r="O639" i="1"/>
  <c r="B636" i="1"/>
  <c r="C636" i="1"/>
  <c r="K636" i="1"/>
  <c r="N636" i="1"/>
  <c r="O636" i="1"/>
  <c r="B634" i="1"/>
  <c r="B635" i="1"/>
  <c r="C634" i="1"/>
  <c r="C635" i="1"/>
  <c r="K634" i="1"/>
  <c r="K635" i="1"/>
  <c r="N634" i="1"/>
  <c r="N635" i="1"/>
  <c r="O634" i="1"/>
  <c r="O635" i="1"/>
  <c r="B632" i="1"/>
  <c r="B633" i="1"/>
  <c r="C632" i="1"/>
  <c r="C633" i="1"/>
  <c r="K632" i="1"/>
  <c r="K633" i="1"/>
  <c r="N632" i="1"/>
  <c r="N633" i="1"/>
  <c r="O632" i="1"/>
  <c r="O633" i="1"/>
  <c r="B629" i="1"/>
  <c r="B630" i="1"/>
  <c r="B631" i="1"/>
  <c r="C629" i="1"/>
  <c r="C630" i="1"/>
  <c r="C631" i="1"/>
  <c r="K629" i="1"/>
  <c r="K630" i="1"/>
  <c r="K631" i="1"/>
  <c r="N629" i="1"/>
  <c r="N630" i="1"/>
  <c r="N631" i="1"/>
  <c r="O629" i="1"/>
  <c r="O630" i="1"/>
  <c r="O631" i="1"/>
  <c r="B626" i="1"/>
  <c r="B627" i="1"/>
  <c r="B628" i="1"/>
  <c r="C626" i="1"/>
  <c r="C627" i="1"/>
  <c r="C628" i="1"/>
  <c r="K626" i="1"/>
  <c r="K627" i="1"/>
  <c r="K628" i="1"/>
  <c r="N626" i="1"/>
  <c r="N627" i="1"/>
  <c r="N628" i="1"/>
  <c r="O626" i="1"/>
  <c r="O627" i="1"/>
  <c r="O628" i="1"/>
  <c r="B625" i="1"/>
  <c r="C625" i="1"/>
  <c r="K625" i="1"/>
  <c r="N625" i="1"/>
  <c r="O625" i="1"/>
  <c r="B622" i="1"/>
  <c r="B623" i="1"/>
  <c r="B624" i="1"/>
  <c r="C622" i="1"/>
  <c r="C623" i="1"/>
  <c r="C624" i="1"/>
  <c r="K622" i="1"/>
  <c r="K623" i="1"/>
  <c r="K624" i="1"/>
  <c r="N622" i="1"/>
  <c r="N623" i="1"/>
  <c r="N624" i="1"/>
  <c r="O622" i="1"/>
  <c r="O623" i="1"/>
  <c r="O624" i="1"/>
  <c r="B620" i="1"/>
  <c r="B621" i="1"/>
  <c r="C620" i="1"/>
  <c r="C621" i="1"/>
  <c r="K620" i="1"/>
  <c r="K621" i="1"/>
  <c r="N620" i="1"/>
  <c r="N621" i="1"/>
  <c r="O620" i="1"/>
  <c r="O621" i="1"/>
  <c r="B619" i="1"/>
  <c r="C619" i="1"/>
  <c r="K619" i="1"/>
  <c r="N619" i="1"/>
  <c r="O619" i="1"/>
  <c r="B616" i="1"/>
  <c r="B617" i="1"/>
  <c r="B618" i="1"/>
  <c r="C616" i="1"/>
  <c r="C617" i="1"/>
  <c r="C618" i="1"/>
  <c r="K616" i="1"/>
  <c r="K617" i="1"/>
  <c r="K618" i="1"/>
  <c r="N616" i="1"/>
  <c r="N617" i="1"/>
  <c r="N618" i="1"/>
  <c r="O616" i="1"/>
  <c r="O617" i="1"/>
  <c r="O618" i="1"/>
  <c r="B613" i="1"/>
  <c r="B614" i="1"/>
  <c r="B615" i="1"/>
  <c r="C613" i="1"/>
  <c r="C614" i="1"/>
  <c r="C615" i="1"/>
  <c r="K613" i="1"/>
  <c r="K614" i="1"/>
  <c r="K615" i="1"/>
  <c r="N613" i="1"/>
  <c r="N614" i="1"/>
  <c r="N615" i="1"/>
  <c r="O613" i="1"/>
  <c r="O614" i="1"/>
  <c r="O615" i="1"/>
  <c r="B609" i="1"/>
  <c r="B610" i="1"/>
  <c r="B611" i="1"/>
  <c r="B612" i="1"/>
  <c r="C609" i="1"/>
  <c r="C610" i="1"/>
  <c r="C611" i="1"/>
  <c r="C612" i="1"/>
  <c r="K609" i="1"/>
  <c r="K610" i="1"/>
  <c r="K611" i="1"/>
  <c r="K612" i="1"/>
  <c r="N609" i="1"/>
  <c r="N610" i="1"/>
  <c r="N611" i="1"/>
  <c r="N612" i="1"/>
  <c r="O609" i="1"/>
  <c r="O610" i="1"/>
  <c r="O611" i="1"/>
  <c r="O612" i="1"/>
  <c r="B608" i="1"/>
  <c r="C608" i="1"/>
  <c r="K608" i="1"/>
  <c r="N608" i="1"/>
  <c r="O608" i="1"/>
  <c r="B604" i="1"/>
  <c r="B605" i="1"/>
  <c r="B606" i="1"/>
  <c r="B607" i="1"/>
  <c r="C604" i="1"/>
  <c r="C605" i="1"/>
  <c r="C606" i="1"/>
  <c r="C607" i="1"/>
  <c r="K604" i="1"/>
  <c r="K605" i="1"/>
  <c r="K606" i="1"/>
  <c r="K607" i="1"/>
  <c r="N604" i="1"/>
  <c r="N605" i="1"/>
  <c r="N606" i="1"/>
  <c r="N607" i="1"/>
  <c r="O604" i="1"/>
  <c r="O605" i="1"/>
  <c r="O606" i="1"/>
  <c r="O607" i="1"/>
  <c r="B603" i="1"/>
  <c r="C603" i="1"/>
  <c r="K603" i="1"/>
  <c r="N603" i="1"/>
  <c r="O603" i="1"/>
  <c r="B600" i="1"/>
  <c r="B601" i="1"/>
  <c r="B602" i="1"/>
  <c r="C600" i="1"/>
  <c r="C601" i="1"/>
  <c r="C602" i="1"/>
  <c r="K600" i="1"/>
  <c r="K601" i="1"/>
  <c r="K602" i="1"/>
  <c r="N600" i="1"/>
  <c r="N601" i="1"/>
  <c r="N602" i="1"/>
  <c r="O600" i="1"/>
  <c r="O601" i="1"/>
  <c r="O602" i="1"/>
  <c r="B593" i="1"/>
  <c r="B594" i="1"/>
  <c r="B595" i="1"/>
  <c r="B596" i="1"/>
  <c r="B597" i="1"/>
  <c r="B598" i="1"/>
  <c r="B599" i="1"/>
  <c r="C593" i="1"/>
  <c r="C594" i="1"/>
  <c r="C595" i="1"/>
  <c r="C596" i="1"/>
  <c r="C597" i="1"/>
  <c r="C598" i="1"/>
  <c r="C599" i="1"/>
  <c r="K593" i="1"/>
  <c r="K594" i="1"/>
  <c r="K595" i="1"/>
  <c r="K596" i="1"/>
  <c r="K597" i="1"/>
  <c r="K598" i="1"/>
  <c r="K599" i="1"/>
  <c r="N593" i="1"/>
  <c r="N594" i="1"/>
  <c r="N595" i="1"/>
  <c r="N596" i="1"/>
  <c r="N597" i="1"/>
  <c r="N598" i="1"/>
  <c r="N599" i="1"/>
  <c r="O593" i="1"/>
  <c r="O594" i="1"/>
  <c r="O595" i="1"/>
  <c r="O596" i="1"/>
  <c r="O597" i="1"/>
  <c r="O598" i="1"/>
  <c r="O599" i="1"/>
  <c r="B589" i="1"/>
  <c r="B590" i="1"/>
  <c r="B591" i="1"/>
  <c r="B592" i="1"/>
  <c r="C589" i="1"/>
  <c r="C590" i="1"/>
  <c r="C591" i="1"/>
  <c r="C592" i="1"/>
  <c r="K589" i="1"/>
  <c r="K590" i="1"/>
  <c r="K591" i="1"/>
  <c r="K592" i="1"/>
  <c r="N589" i="1"/>
  <c r="N590" i="1"/>
  <c r="N591" i="1"/>
  <c r="N592" i="1"/>
  <c r="O589" i="1"/>
  <c r="O590" i="1"/>
  <c r="O591" i="1"/>
  <c r="O592" i="1"/>
  <c r="C588" i="1"/>
  <c r="K588" i="1"/>
  <c r="N588" i="1"/>
  <c r="O588" i="1"/>
  <c r="B587" i="1"/>
  <c r="C587" i="1"/>
  <c r="K587" i="1"/>
  <c r="N587" i="1"/>
  <c r="O587" i="1"/>
  <c r="B586" i="1"/>
  <c r="C586" i="1"/>
  <c r="K586" i="1"/>
  <c r="N586" i="1"/>
  <c r="O586" i="1"/>
  <c r="B581" i="1"/>
  <c r="B582" i="1"/>
  <c r="B583" i="1"/>
  <c r="B584" i="1"/>
  <c r="B585" i="1"/>
  <c r="C581" i="1"/>
  <c r="C582" i="1"/>
  <c r="C583" i="1"/>
  <c r="C584" i="1"/>
  <c r="C585" i="1"/>
  <c r="K581" i="1"/>
  <c r="K582" i="1"/>
  <c r="K583" i="1"/>
  <c r="K584" i="1"/>
  <c r="K585" i="1"/>
  <c r="N581" i="1"/>
  <c r="N582" i="1"/>
  <c r="N583" i="1"/>
  <c r="N584" i="1"/>
  <c r="N585" i="1"/>
  <c r="O581" i="1"/>
  <c r="O582" i="1"/>
  <c r="O583" i="1"/>
  <c r="O584" i="1"/>
  <c r="O585" i="1"/>
  <c r="B580" i="1"/>
  <c r="C580" i="1"/>
  <c r="K580" i="1"/>
  <c r="N580" i="1"/>
  <c r="O580" i="1"/>
  <c r="B579" i="1"/>
  <c r="C579" i="1"/>
  <c r="K579" i="1"/>
  <c r="N579" i="1"/>
  <c r="O579" i="1"/>
  <c r="B578" i="1"/>
  <c r="C578" i="1"/>
  <c r="K578" i="1"/>
  <c r="N578" i="1"/>
  <c r="O578" i="1"/>
  <c r="B576" i="1"/>
  <c r="B577" i="1"/>
  <c r="C576" i="1"/>
  <c r="C577" i="1"/>
  <c r="K576" i="1"/>
  <c r="K577" i="1"/>
  <c r="N576" i="1"/>
  <c r="N577" i="1"/>
  <c r="O576" i="1"/>
  <c r="O577" i="1"/>
  <c r="B575" i="1"/>
  <c r="C575" i="1"/>
  <c r="K575" i="1"/>
  <c r="N575" i="1"/>
  <c r="O575" i="1"/>
  <c r="B571" i="1"/>
  <c r="B572" i="1"/>
  <c r="B573" i="1"/>
  <c r="B574" i="1"/>
  <c r="C571" i="1"/>
  <c r="C572" i="1"/>
  <c r="C573" i="1"/>
  <c r="C574" i="1"/>
  <c r="K571" i="1"/>
  <c r="K572" i="1"/>
  <c r="K573" i="1"/>
  <c r="K574" i="1"/>
  <c r="N571" i="1"/>
  <c r="N572" i="1"/>
  <c r="N573" i="1"/>
  <c r="N574" i="1"/>
  <c r="O571" i="1"/>
  <c r="O572" i="1"/>
  <c r="O573" i="1"/>
  <c r="O574" i="1"/>
  <c r="B570" i="1"/>
  <c r="C570" i="1"/>
  <c r="K570" i="1"/>
  <c r="N570" i="1"/>
  <c r="O570" i="1"/>
  <c r="B567" i="1"/>
  <c r="B568" i="1"/>
  <c r="B569" i="1"/>
  <c r="C567" i="1"/>
  <c r="C568" i="1"/>
  <c r="C569" i="1"/>
  <c r="K567" i="1"/>
  <c r="K568" i="1"/>
  <c r="K569" i="1"/>
  <c r="N567" i="1"/>
  <c r="N568" i="1"/>
  <c r="N569" i="1"/>
  <c r="O567" i="1"/>
  <c r="O568" i="1"/>
  <c r="O569" i="1"/>
  <c r="B566" i="1"/>
  <c r="C566" i="1"/>
  <c r="K566" i="1"/>
  <c r="N566" i="1"/>
  <c r="O566" i="1"/>
  <c r="B565" i="1"/>
  <c r="C565" i="1"/>
  <c r="K565" i="1"/>
  <c r="N565" i="1"/>
  <c r="O565" i="1"/>
  <c r="B564" i="1"/>
  <c r="C564" i="1"/>
  <c r="K564" i="1"/>
  <c r="N564" i="1"/>
  <c r="O564" i="1"/>
  <c r="B563" i="1"/>
  <c r="C563" i="1"/>
  <c r="K563" i="1"/>
  <c r="N563" i="1"/>
  <c r="O563" i="1"/>
  <c r="B562" i="1"/>
  <c r="C562" i="1"/>
  <c r="K562" i="1"/>
  <c r="N562" i="1"/>
  <c r="O562" i="1"/>
  <c r="B561" i="1"/>
  <c r="C561" i="1"/>
  <c r="K561" i="1"/>
  <c r="N561" i="1"/>
  <c r="O561" i="1"/>
  <c r="B560" i="1"/>
  <c r="C560" i="1"/>
  <c r="K560" i="1"/>
  <c r="N560" i="1"/>
  <c r="O560" i="1"/>
  <c r="B559" i="1"/>
  <c r="C559" i="1"/>
  <c r="K559" i="1"/>
  <c r="N559" i="1"/>
  <c r="O559" i="1"/>
  <c r="K55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40" i="1"/>
  <c r="K41" i="1"/>
  <c r="K42" i="1"/>
  <c r="K43" i="1"/>
  <c r="K44" i="1"/>
  <c r="K45" i="1"/>
  <c r="K46" i="1"/>
  <c r="K47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2" i="1"/>
  <c r="K103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B557" i="1"/>
  <c r="B558" i="1"/>
  <c r="C557" i="1"/>
  <c r="C558" i="1"/>
  <c r="N557" i="1"/>
  <c r="N558" i="1"/>
  <c r="O557" i="1"/>
  <c r="O558" i="1"/>
  <c r="B556" i="1"/>
  <c r="C556" i="1"/>
  <c r="N556" i="1"/>
  <c r="O556" i="1"/>
  <c r="B555" i="1"/>
  <c r="C555" i="1"/>
  <c r="N555" i="1"/>
  <c r="O555" i="1"/>
  <c r="B554" i="1"/>
  <c r="C554" i="1"/>
  <c r="N554" i="1"/>
  <c r="O554" i="1"/>
  <c r="B549" i="1" l="1"/>
  <c r="B550" i="1"/>
  <c r="B551" i="1"/>
  <c r="B552" i="1"/>
  <c r="B553" i="1"/>
  <c r="C549" i="1"/>
  <c r="C550" i="1"/>
  <c r="C551" i="1"/>
  <c r="C552" i="1"/>
  <c r="C553" i="1"/>
  <c r="N549" i="1"/>
  <c r="N550" i="1"/>
  <c r="N551" i="1"/>
  <c r="N552" i="1"/>
  <c r="N553" i="1"/>
  <c r="O549" i="1"/>
  <c r="O550" i="1"/>
  <c r="O551" i="1"/>
  <c r="O552" i="1"/>
  <c r="O553" i="1"/>
  <c r="B548" i="1" l="1"/>
  <c r="C548" i="1"/>
  <c r="N548" i="1"/>
  <c r="O548" i="1"/>
  <c r="N546" i="1" l="1"/>
  <c r="N547" i="1"/>
  <c r="O546" i="1"/>
  <c r="O547" i="1"/>
  <c r="C547" i="1"/>
  <c r="B547" i="1"/>
  <c r="C546" i="1"/>
  <c r="B546" i="1"/>
  <c r="N542" i="1"/>
  <c r="N543" i="1"/>
  <c r="N544" i="1"/>
  <c r="N545" i="1"/>
  <c r="O542" i="1"/>
  <c r="O543" i="1"/>
  <c r="O544" i="1"/>
  <c r="O545" i="1"/>
  <c r="C545" i="1"/>
  <c r="B545" i="1"/>
  <c r="C544" i="1"/>
  <c r="B544" i="1"/>
  <c r="C543" i="1"/>
  <c r="B543" i="1"/>
  <c r="C542" i="1"/>
  <c r="B542" i="1"/>
  <c r="N541" i="1"/>
  <c r="O541" i="1"/>
  <c r="C541" i="1"/>
  <c r="B541" i="1"/>
  <c r="B540" i="1"/>
  <c r="N539" i="1"/>
  <c r="N540" i="1"/>
  <c r="O539" i="1"/>
  <c r="O540" i="1"/>
  <c r="C540" i="1"/>
  <c r="C539" i="1"/>
  <c r="B539" i="1"/>
  <c r="N538" i="1"/>
  <c r="O538" i="1"/>
  <c r="C538" i="1"/>
  <c r="B538" i="1"/>
  <c r="N537" i="1"/>
  <c r="O537" i="1"/>
  <c r="C537" i="1"/>
  <c r="B537" i="1"/>
  <c r="B536" i="1"/>
  <c r="C536" i="1"/>
  <c r="N536" i="1"/>
  <c r="O536" i="1"/>
  <c r="B535" i="1"/>
  <c r="C535" i="1"/>
  <c r="N535" i="1"/>
  <c r="O535" i="1"/>
  <c r="D24" i="2" l="1"/>
  <c r="D25" i="2"/>
  <c r="D26" i="2"/>
  <c r="D27" i="2"/>
  <c r="D28" i="2"/>
  <c r="D29" i="2"/>
  <c r="D30" i="2"/>
  <c r="D31" i="2"/>
  <c r="D32" i="2"/>
  <c r="N532" i="1" l="1"/>
  <c r="N533" i="1"/>
  <c r="N534" i="1"/>
  <c r="O532" i="1"/>
  <c r="O533" i="1"/>
  <c r="O534" i="1"/>
  <c r="C534" i="1"/>
  <c r="B534" i="1"/>
  <c r="C533" i="1"/>
  <c r="B533" i="1"/>
  <c r="C532" i="1"/>
  <c r="B532" i="1"/>
  <c r="N530" i="1"/>
  <c r="N531" i="1"/>
  <c r="O530" i="1"/>
  <c r="O531" i="1"/>
  <c r="C531" i="1"/>
  <c r="B531" i="1"/>
  <c r="C530" i="1"/>
  <c r="B530" i="1"/>
  <c r="N524" i="1"/>
  <c r="N525" i="1"/>
  <c r="N526" i="1"/>
  <c r="N527" i="1"/>
  <c r="N528" i="1"/>
  <c r="N529" i="1"/>
  <c r="O524" i="1"/>
  <c r="O525" i="1"/>
  <c r="O526" i="1"/>
  <c r="O527" i="1"/>
  <c r="O528" i="1"/>
  <c r="O529" i="1"/>
  <c r="C529" i="1"/>
  <c r="B529" i="1"/>
  <c r="C528" i="1"/>
  <c r="B528" i="1"/>
  <c r="C527" i="1"/>
  <c r="B527" i="1"/>
  <c r="C526" i="1"/>
  <c r="B526" i="1"/>
  <c r="C525" i="1"/>
  <c r="B525" i="1"/>
  <c r="C524" i="1"/>
  <c r="B524" i="1"/>
  <c r="B523" i="1"/>
  <c r="C523" i="1"/>
  <c r="N523" i="1"/>
  <c r="O523" i="1"/>
  <c r="B522" i="1"/>
  <c r="C522" i="1"/>
  <c r="N522" i="1"/>
  <c r="O522" i="1"/>
  <c r="N520" i="1"/>
  <c r="N521" i="1"/>
  <c r="O520" i="1"/>
  <c r="O521" i="1"/>
  <c r="C521" i="1"/>
  <c r="B521" i="1"/>
  <c r="C520" i="1"/>
  <c r="B520" i="1"/>
  <c r="N515" i="1"/>
  <c r="N516" i="1"/>
  <c r="N517" i="1"/>
  <c r="N518" i="1"/>
  <c r="N519" i="1"/>
  <c r="O515" i="1"/>
  <c r="O516" i="1"/>
  <c r="O517" i="1"/>
  <c r="O518" i="1"/>
  <c r="O519" i="1"/>
  <c r="C519" i="1"/>
  <c r="B519" i="1"/>
  <c r="C518" i="1"/>
  <c r="B518" i="1"/>
  <c r="C517" i="1"/>
  <c r="B517" i="1"/>
  <c r="C516" i="1"/>
  <c r="B516" i="1"/>
  <c r="C515" i="1"/>
  <c r="B515" i="1"/>
  <c r="B514" i="1"/>
  <c r="C514" i="1"/>
  <c r="N514" i="1"/>
  <c r="O514" i="1"/>
  <c r="N508" i="1" l="1"/>
  <c r="N509" i="1"/>
  <c r="N510" i="1"/>
  <c r="N511" i="1"/>
  <c r="N512" i="1"/>
  <c r="N513" i="1"/>
  <c r="O508" i="1"/>
  <c r="O509" i="1"/>
  <c r="O510" i="1"/>
  <c r="O511" i="1"/>
  <c r="O512" i="1"/>
  <c r="O513" i="1"/>
  <c r="C513" i="1"/>
  <c r="B513" i="1"/>
  <c r="C512" i="1"/>
  <c r="B512" i="1"/>
  <c r="C511" i="1"/>
  <c r="B511" i="1"/>
  <c r="C510" i="1"/>
  <c r="B510" i="1"/>
  <c r="C509" i="1"/>
  <c r="B509" i="1"/>
  <c r="C508" i="1"/>
  <c r="B508" i="1"/>
  <c r="N506" i="1"/>
  <c r="N507" i="1"/>
  <c r="O506" i="1"/>
  <c r="O507" i="1"/>
  <c r="C507" i="1"/>
  <c r="B507" i="1"/>
  <c r="C506" i="1"/>
  <c r="B506" i="1"/>
  <c r="N503" i="1"/>
  <c r="N504" i="1"/>
  <c r="N505" i="1"/>
  <c r="O503" i="1"/>
  <c r="O504" i="1"/>
  <c r="O505" i="1"/>
  <c r="C505" i="1"/>
  <c r="B505" i="1"/>
  <c r="C504" i="1"/>
  <c r="B504" i="1"/>
  <c r="C503" i="1"/>
  <c r="B503" i="1"/>
  <c r="N502" i="1"/>
  <c r="O502" i="1"/>
  <c r="C502" i="1"/>
  <c r="B502" i="1"/>
  <c r="N501" i="1"/>
  <c r="O501" i="1"/>
  <c r="C501" i="1"/>
  <c r="B501" i="1"/>
  <c r="N499" i="1"/>
  <c r="N500" i="1"/>
  <c r="O499" i="1"/>
  <c r="O500" i="1"/>
  <c r="C500" i="1"/>
  <c r="B500" i="1"/>
  <c r="C499" i="1"/>
  <c r="B499" i="1"/>
  <c r="B498" i="1"/>
  <c r="C498" i="1"/>
  <c r="N498" i="1"/>
  <c r="O498" i="1"/>
  <c r="N495" i="1" l="1"/>
  <c r="N496" i="1"/>
  <c r="N497" i="1"/>
  <c r="O495" i="1"/>
  <c r="O496" i="1"/>
  <c r="O497" i="1"/>
  <c r="C497" i="1"/>
  <c r="B497" i="1"/>
  <c r="C496" i="1"/>
  <c r="B496" i="1"/>
  <c r="C495" i="1"/>
  <c r="B495" i="1"/>
  <c r="N494" i="1"/>
  <c r="O494" i="1"/>
  <c r="C494" i="1"/>
  <c r="B494" i="1"/>
  <c r="B493" i="1"/>
  <c r="C493" i="1"/>
  <c r="N493" i="1"/>
  <c r="O493" i="1"/>
  <c r="B492" i="1"/>
  <c r="C492" i="1"/>
  <c r="N492" i="1"/>
  <c r="O492" i="1"/>
  <c r="N486" i="1"/>
  <c r="N487" i="1"/>
  <c r="N488" i="1"/>
  <c r="N489" i="1"/>
  <c r="N490" i="1"/>
  <c r="N491" i="1"/>
  <c r="O486" i="1"/>
  <c r="O487" i="1"/>
  <c r="O488" i="1"/>
  <c r="O489" i="1"/>
  <c r="O490" i="1"/>
  <c r="O491" i="1"/>
  <c r="C491" i="1"/>
  <c r="B491" i="1"/>
  <c r="C490" i="1"/>
  <c r="B490" i="1"/>
  <c r="C489" i="1"/>
  <c r="B489" i="1"/>
  <c r="C488" i="1"/>
  <c r="B488" i="1"/>
  <c r="C487" i="1"/>
  <c r="B487" i="1"/>
  <c r="C486" i="1"/>
  <c r="B486" i="1"/>
  <c r="N485" i="1"/>
  <c r="O485" i="1"/>
  <c r="C485" i="1"/>
  <c r="B485" i="1"/>
  <c r="N483" i="1"/>
  <c r="N484" i="1"/>
  <c r="O483" i="1"/>
  <c r="O484" i="1"/>
  <c r="C484" i="1"/>
  <c r="B484" i="1"/>
  <c r="C483" i="1"/>
  <c r="B483" i="1"/>
  <c r="N481" i="1"/>
  <c r="N482" i="1"/>
  <c r="O481" i="1"/>
  <c r="O482" i="1"/>
  <c r="C482" i="1"/>
  <c r="B482" i="1"/>
  <c r="C481" i="1"/>
  <c r="B481" i="1"/>
  <c r="N480" i="1"/>
  <c r="O480" i="1"/>
  <c r="C480" i="1"/>
  <c r="B480" i="1"/>
  <c r="N479" i="1"/>
  <c r="O479" i="1"/>
  <c r="C479" i="1"/>
  <c r="B479" i="1"/>
  <c r="N478" i="1"/>
  <c r="O478" i="1"/>
  <c r="C478" i="1"/>
  <c r="B478" i="1"/>
  <c r="B477" i="1"/>
  <c r="C477" i="1"/>
  <c r="N477" i="1"/>
  <c r="O477" i="1"/>
  <c r="N476" i="1" l="1"/>
  <c r="O476" i="1"/>
  <c r="C476" i="1"/>
  <c r="B476" i="1"/>
  <c r="N475" i="1"/>
  <c r="O475" i="1"/>
  <c r="C475" i="1"/>
  <c r="B475" i="1"/>
  <c r="B474" i="1"/>
  <c r="C474" i="1"/>
  <c r="N474" i="1"/>
  <c r="O474" i="1"/>
  <c r="N473" i="1"/>
  <c r="O473" i="1"/>
  <c r="C473" i="1"/>
  <c r="B473" i="1"/>
  <c r="N472" i="1"/>
  <c r="O472" i="1"/>
  <c r="C472" i="1"/>
  <c r="B472" i="1"/>
  <c r="N470" i="1"/>
  <c r="N471" i="1"/>
  <c r="O470" i="1"/>
  <c r="O471" i="1"/>
  <c r="C471" i="1"/>
  <c r="B471" i="1"/>
  <c r="C470" i="1"/>
  <c r="B470" i="1"/>
  <c r="B469" i="1"/>
  <c r="C469" i="1"/>
  <c r="N469" i="1"/>
  <c r="O469" i="1"/>
  <c r="N467" i="1"/>
  <c r="N468" i="1"/>
  <c r="O467" i="1"/>
  <c r="O468" i="1"/>
  <c r="C468" i="1"/>
  <c r="B468" i="1"/>
  <c r="C467" i="1"/>
  <c r="B467" i="1"/>
  <c r="N464" i="1"/>
  <c r="N465" i="1"/>
  <c r="N466" i="1"/>
  <c r="O464" i="1"/>
  <c r="O465" i="1"/>
  <c r="O466" i="1"/>
  <c r="C466" i="1"/>
  <c r="B466" i="1"/>
  <c r="C465" i="1"/>
  <c r="B465" i="1"/>
  <c r="C464" i="1"/>
  <c r="B464" i="1"/>
  <c r="N463" i="1"/>
  <c r="O463" i="1"/>
  <c r="C463" i="1"/>
  <c r="B463" i="1"/>
  <c r="N460" i="1"/>
  <c r="N461" i="1"/>
  <c r="N462" i="1"/>
  <c r="O460" i="1"/>
  <c r="O461" i="1"/>
  <c r="O462" i="1"/>
  <c r="C462" i="1"/>
  <c r="B462" i="1"/>
  <c r="C461" i="1"/>
  <c r="B461" i="1"/>
  <c r="C460" i="1"/>
  <c r="B460" i="1"/>
  <c r="N459" i="1"/>
  <c r="O459" i="1"/>
  <c r="C459" i="1"/>
  <c r="B459" i="1"/>
  <c r="N458" i="1"/>
  <c r="O458" i="1"/>
  <c r="C458" i="1"/>
  <c r="B458" i="1"/>
  <c r="B457" i="1"/>
  <c r="C457" i="1"/>
  <c r="N457" i="1"/>
  <c r="O457" i="1"/>
  <c r="N449" i="1"/>
  <c r="N450" i="1"/>
  <c r="N451" i="1"/>
  <c r="N452" i="1"/>
  <c r="N453" i="1"/>
  <c r="N454" i="1"/>
  <c r="N455" i="1"/>
  <c r="N456" i="1"/>
  <c r="O449" i="1"/>
  <c r="O450" i="1"/>
  <c r="O451" i="1"/>
  <c r="O452" i="1"/>
  <c r="O453" i="1"/>
  <c r="O454" i="1"/>
  <c r="O455" i="1"/>
  <c r="O456" i="1"/>
  <c r="C456" i="1"/>
  <c r="B456" i="1"/>
  <c r="C455" i="1"/>
  <c r="B455" i="1"/>
  <c r="C454" i="1"/>
  <c r="B454" i="1"/>
  <c r="C453" i="1"/>
  <c r="B453" i="1"/>
  <c r="C452" i="1"/>
  <c r="B452" i="1"/>
  <c r="C451" i="1"/>
  <c r="B451" i="1"/>
  <c r="C450" i="1"/>
  <c r="B450" i="1"/>
  <c r="C449" i="1"/>
  <c r="B449" i="1"/>
  <c r="B448" i="1"/>
  <c r="C448" i="1"/>
  <c r="N448" i="1"/>
  <c r="O448" i="1"/>
  <c r="N447" i="1"/>
  <c r="O447" i="1"/>
  <c r="C447" i="1"/>
  <c r="B447" i="1"/>
  <c r="B446" i="1"/>
  <c r="C446" i="1"/>
  <c r="N446" i="1"/>
  <c r="O446" i="1"/>
  <c r="N445" i="1"/>
  <c r="O445" i="1"/>
  <c r="C445" i="1"/>
  <c r="B445" i="1"/>
  <c r="B444" i="1"/>
  <c r="C444" i="1"/>
  <c r="N444" i="1"/>
  <c r="O444" i="1"/>
  <c r="B443" i="1"/>
  <c r="C443" i="1"/>
  <c r="N443" i="1"/>
  <c r="O443" i="1"/>
  <c r="N440" i="1"/>
  <c r="N441" i="1"/>
  <c r="N442" i="1"/>
  <c r="O440" i="1"/>
  <c r="O441" i="1"/>
  <c r="O442" i="1"/>
  <c r="C442" i="1"/>
  <c r="B442" i="1"/>
  <c r="C441" i="1"/>
  <c r="B441" i="1"/>
  <c r="C440" i="1"/>
  <c r="B440" i="1"/>
  <c r="C439" i="1"/>
  <c r="B439" i="1"/>
  <c r="N439" i="1"/>
  <c r="O439" i="1"/>
  <c r="N438" i="1"/>
  <c r="O438" i="1"/>
  <c r="C438" i="1"/>
  <c r="B438" i="1"/>
  <c r="N437" i="1"/>
  <c r="O437" i="1"/>
  <c r="C437" i="1"/>
  <c r="B437" i="1"/>
  <c r="B436" i="1"/>
  <c r="C436" i="1"/>
  <c r="N436" i="1"/>
  <c r="O436" i="1"/>
  <c r="N434" i="1"/>
  <c r="N435" i="1"/>
  <c r="O434" i="1"/>
  <c r="O435" i="1"/>
  <c r="C435" i="1"/>
  <c r="B435" i="1"/>
  <c r="C434" i="1"/>
  <c r="B434" i="1"/>
  <c r="B433" i="1"/>
  <c r="C433" i="1"/>
  <c r="N433" i="1"/>
  <c r="O433" i="1"/>
  <c r="N429" i="1"/>
  <c r="N430" i="1"/>
  <c r="N431" i="1"/>
  <c r="N432" i="1"/>
  <c r="O429" i="1"/>
  <c r="O430" i="1"/>
  <c r="O431" i="1"/>
  <c r="O432" i="1"/>
  <c r="C432" i="1"/>
  <c r="B432" i="1"/>
  <c r="C431" i="1"/>
  <c r="B431" i="1"/>
  <c r="C430" i="1"/>
  <c r="B430" i="1"/>
  <c r="C429" i="1"/>
  <c r="B429" i="1"/>
  <c r="N428" i="1"/>
  <c r="O428" i="1"/>
  <c r="C428" i="1"/>
  <c r="B428" i="1"/>
  <c r="N422" i="1"/>
  <c r="N423" i="1"/>
  <c r="N424" i="1"/>
  <c r="N425" i="1"/>
  <c r="N426" i="1"/>
  <c r="N427" i="1"/>
  <c r="O422" i="1"/>
  <c r="O423" i="1"/>
  <c r="O424" i="1"/>
  <c r="O425" i="1"/>
  <c r="O426" i="1"/>
  <c r="O427" i="1"/>
  <c r="C427" i="1"/>
  <c r="B427" i="1"/>
  <c r="C426" i="1"/>
  <c r="B426" i="1"/>
  <c r="C425" i="1"/>
  <c r="B425" i="1"/>
  <c r="C424" i="1"/>
  <c r="B424" i="1"/>
  <c r="C423" i="1"/>
  <c r="B423" i="1"/>
  <c r="C422" i="1"/>
  <c r="B422" i="1"/>
  <c r="C421" i="1"/>
  <c r="B421" i="1"/>
  <c r="N421" i="1"/>
  <c r="O421" i="1"/>
  <c r="B420" i="1"/>
  <c r="C420" i="1"/>
  <c r="N420" i="1"/>
  <c r="O420" i="1"/>
  <c r="B419" i="1"/>
  <c r="C419" i="1"/>
  <c r="N419" i="1"/>
  <c r="O419" i="1"/>
  <c r="B418" i="1"/>
  <c r="C418" i="1"/>
  <c r="N418" i="1"/>
  <c r="O418" i="1"/>
  <c r="B417" i="1"/>
  <c r="C417" i="1"/>
  <c r="N417" i="1"/>
  <c r="O417" i="1"/>
  <c r="B416" i="1"/>
  <c r="C416" i="1"/>
  <c r="N416" i="1"/>
  <c r="O416" i="1"/>
  <c r="N410" i="1"/>
  <c r="N411" i="1"/>
  <c r="N412" i="1"/>
  <c r="N413" i="1"/>
  <c r="N414" i="1"/>
  <c r="N415" i="1"/>
  <c r="O410" i="1"/>
  <c r="O411" i="1"/>
  <c r="O412" i="1"/>
  <c r="O413" i="1"/>
  <c r="O414" i="1"/>
  <c r="O415" i="1"/>
  <c r="C415" i="1"/>
  <c r="B415" i="1"/>
  <c r="C414" i="1"/>
  <c r="B414" i="1"/>
  <c r="C413" i="1"/>
  <c r="B413" i="1"/>
  <c r="C412" i="1"/>
  <c r="B412" i="1"/>
  <c r="C411" i="1"/>
  <c r="B411" i="1"/>
  <c r="C410" i="1"/>
  <c r="B410" i="1"/>
  <c r="B409" i="1"/>
  <c r="C409" i="1"/>
  <c r="N409" i="1"/>
  <c r="O409" i="1"/>
  <c r="N408" i="1"/>
  <c r="O408" i="1"/>
  <c r="C408" i="1"/>
  <c r="B408" i="1"/>
  <c r="B407" i="1"/>
  <c r="C407" i="1"/>
  <c r="N407" i="1"/>
  <c r="O407" i="1"/>
  <c r="N405" i="1"/>
  <c r="N406" i="1"/>
  <c r="O405" i="1"/>
  <c r="O406" i="1"/>
  <c r="C406" i="1"/>
  <c r="B406" i="1"/>
  <c r="C405" i="1"/>
  <c r="B405" i="1"/>
  <c r="B404" i="1"/>
  <c r="C404" i="1"/>
  <c r="N404" i="1"/>
  <c r="O404" i="1"/>
  <c r="B403" i="1"/>
  <c r="C403" i="1"/>
  <c r="N403" i="1"/>
  <c r="O403" i="1"/>
  <c r="N400" i="1"/>
  <c r="N401" i="1"/>
  <c r="N402" i="1"/>
  <c r="O400" i="1"/>
  <c r="O401" i="1"/>
  <c r="O402" i="1"/>
  <c r="C402" i="1"/>
  <c r="B402" i="1"/>
  <c r="C401" i="1"/>
  <c r="B401" i="1"/>
  <c r="C400" i="1"/>
  <c r="B400" i="1"/>
  <c r="B399" i="1"/>
  <c r="C399" i="1"/>
  <c r="N399" i="1"/>
  <c r="O399" i="1"/>
  <c r="N397" i="1"/>
  <c r="N398" i="1"/>
  <c r="O397" i="1"/>
  <c r="O398" i="1"/>
  <c r="C398" i="1"/>
  <c r="B398" i="1"/>
  <c r="C397" i="1"/>
  <c r="B397" i="1"/>
  <c r="B396" i="1"/>
  <c r="C396" i="1"/>
  <c r="N396" i="1"/>
  <c r="O396" i="1"/>
  <c r="N393" i="1"/>
  <c r="N391" i="1"/>
  <c r="N392" i="1"/>
  <c r="N394" i="1"/>
  <c r="N395" i="1"/>
  <c r="O391" i="1"/>
  <c r="O392" i="1"/>
  <c r="O393" i="1"/>
  <c r="O394" i="1"/>
  <c r="O395" i="1"/>
  <c r="C395" i="1"/>
  <c r="B395" i="1"/>
  <c r="C394" i="1"/>
  <c r="B394" i="1"/>
  <c r="C393" i="1"/>
  <c r="B393" i="1"/>
  <c r="C392" i="1"/>
  <c r="B392" i="1"/>
  <c r="C391" i="1"/>
  <c r="B391" i="1"/>
  <c r="B390" i="1"/>
  <c r="C390" i="1"/>
  <c r="N390" i="1"/>
  <c r="O390" i="1"/>
  <c r="N389" i="1"/>
  <c r="O389" i="1"/>
  <c r="C389" i="1"/>
  <c r="B389" i="1"/>
  <c r="O388" i="1"/>
  <c r="N388" i="1"/>
  <c r="C388" i="1"/>
  <c r="B388" i="1"/>
  <c r="O387" i="1"/>
  <c r="N387" i="1"/>
  <c r="C387" i="1"/>
  <c r="B387" i="1"/>
  <c r="O386" i="1"/>
  <c r="N386" i="1"/>
  <c r="C386" i="1"/>
  <c r="B386" i="1"/>
  <c r="O385" i="1"/>
  <c r="N385" i="1"/>
  <c r="C385" i="1"/>
  <c r="B385" i="1"/>
  <c r="N384" i="1"/>
  <c r="O384" i="1"/>
  <c r="C384" i="1"/>
  <c r="B384" i="1"/>
  <c r="N380" i="1"/>
  <c r="N381" i="1"/>
  <c r="N382" i="1"/>
  <c r="N383" i="1"/>
  <c r="O380" i="1"/>
  <c r="O381" i="1"/>
  <c r="O382" i="1"/>
  <c r="O383" i="1"/>
  <c r="C383" i="1"/>
  <c r="B383" i="1"/>
  <c r="C382" i="1"/>
  <c r="B382" i="1"/>
  <c r="C381" i="1"/>
  <c r="B381" i="1"/>
  <c r="C380" i="1"/>
  <c r="B380" i="1"/>
  <c r="B379" i="1"/>
  <c r="C379" i="1"/>
  <c r="N379" i="1"/>
  <c r="O379" i="1"/>
  <c r="N374" i="1"/>
  <c r="N375" i="1"/>
  <c r="N376" i="1"/>
  <c r="N377" i="1"/>
  <c r="N378" i="1"/>
  <c r="O374" i="1"/>
  <c r="O375" i="1"/>
  <c r="O376" i="1"/>
  <c r="O377" i="1"/>
  <c r="O378" i="1"/>
  <c r="C378" i="1"/>
  <c r="B378" i="1"/>
  <c r="C377" i="1"/>
  <c r="B377" i="1"/>
  <c r="C376" i="1"/>
  <c r="B376" i="1"/>
  <c r="C375" i="1"/>
  <c r="B375" i="1"/>
  <c r="C374" i="1"/>
  <c r="B374" i="1"/>
  <c r="B373" i="1"/>
  <c r="C373" i="1"/>
  <c r="N373" i="1"/>
  <c r="O373" i="1"/>
  <c r="B372" i="1"/>
  <c r="C372" i="1"/>
  <c r="N372" i="1"/>
  <c r="O372" i="1"/>
  <c r="N366" i="1"/>
  <c r="N367" i="1"/>
  <c r="N368" i="1"/>
  <c r="N369" i="1"/>
  <c r="N370" i="1"/>
  <c r="N371" i="1"/>
  <c r="O366" i="1"/>
  <c r="O367" i="1"/>
  <c r="O368" i="1"/>
  <c r="O369" i="1"/>
  <c r="O370" i="1"/>
  <c r="O371" i="1"/>
  <c r="C371" i="1"/>
  <c r="B371" i="1"/>
  <c r="C370" i="1"/>
  <c r="B370" i="1"/>
  <c r="C369" i="1"/>
  <c r="B369" i="1"/>
  <c r="C368" i="1"/>
  <c r="B368" i="1"/>
  <c r="C367" i="1"/>
  <c r="B367" i="1"/>
  <c r="C366" i="1"/>
  <c r="B366" i="1"/>
  <c r="B365" i="1"/>
  <c r="C365" i="1"/>
  <c r="N365" i="1"/>
  <c r="O365" i="1"/>
  <c r="N362" i="1"/>
  <c r="N363" i="1"/>
  <c r="N364" i="1"/>
  <c r="O362" i="1"/>
  <c r="O363" i="1"/>
  <c r="O364" i="1"/>
  <c r="C364" i="1"/>
  <c r="B364" i="1"/>
  <c r="C363" i="1"/>
  <c r="B363" i="1"/>
  <c r="C362" i="1"/>
  <c r="B362" i="1"/>
  <c r="B361" i="1"/>
  <c r="C361" i="1"/>
  <c r="N361" i="1"/>
  <c r="O361" i="1"/>
  <c r="N360" i="1" l="1"/>
  <c r="O360" i="1"/>
  <c r="C360" i="1"/>
  <c r="B360" i="1"/>
  <c r="N359" i="1"/>
  <c r="O359" i="1"/>
  <c r="C359" i="1"/>
  <c r="B359" i="1"/>
  <c r="N357" i="1"/>
  <c r="N358" i="1"/>
  <c r="O357" i="1"/>
  <c r="O358" i="1"/>
  <c r="C358" i="1"/>
  <c r="B358" i="1"/>
  <c r="C357" i="1"/>
  <c r="B357" i="1"/>
  <c r="B356" i="1"/>
  <c r="C356" i="1"/>
  <c r="N356" i="1"/>
  <c r="O356" i="1"/>
  <c r="N355" i="1"/>
  <c r="O355" i="1"/>
  <c r="C355" i="1"/>
  <c r="B355" i="1"/>
  <c r="B354" i="1"/>
  <c r="C354" i="1"/>
  <c r="N354" i="1"/>
  <c r="O354" i="1"/>
  <c r="N353" i="1"/>
  <c r="O353" i="1"/>
  <c r="C353" i="1"/>
  <c r="B353" i="1"/>
  <c r="B352" i="1"/>
  <c r="C352" i="1"/>
  <c r="N352" i="1"/>
  <c r="O352" i="1"/>
  <c r="N349" i="1"/>
  <c r="N350" i="1"/>
  <c r="N351" i="1"/>
  <c r="O349" i="1"/>
  <c r="O350" i="1"/>
  <c r="O351" i="1"/>
  <c r="C351" i="1"/>
  <c r="B351" i="1"/>
  <c r="C350" i="1"/>
  <c r="B350" i="1"/>
  <c r="C349" i="1"/>
  <c r="B349" i="1"/>
  <c r="B348" i="1"/>
  <c r="C348" i="1"/>
  <c r="N348" i="1"/>
  <c r="O348" i="1"/>
  <c r="B347" i="1"/>
  <c r="C347" i="1"/>
  <c r="N347" i="1"/>
  <c r="O347" i="1"/>
  <c r="N345" i="1"/>
  <c r="N346" i="1"/>
  <c r="O345" i="1"/>
  <c r="O346" i="1"/>
  <c r="C346" i="1"/>
  <c r="B346" i="1"/>
  <c r="C345" i="1"/>
  <c r="B345" i="1"/>
  <c r="B344" i="1"/>
  <c r="C344" i="1"/>
  <c r="N344" i="1"/>
  <c r="O344" i="1"/>
  <c r="N342" i="1"/>
  <c r="N343" i="1"/>
  <c r="O342" i="1"/>
  <c r="O343" i="1"/>
  <c r="C343" i="1"/>
  <c r="B343" i="1"/>
  <c r="C342" i="1"/>
  <c r="B342" i="1"/>
  <c r="B341" i="1"/>
  <c r="C341" i="1"/>
  <c r="N341" i="1"/>
  <c r="O341" i="1"/>
  <c r="N338" i="1"/>
  <c r="N339" i="1"/>
  <c r="N340" i="1"/>
  <c r="O338" i="1"/>
  <c r="O339" i="1"/>
  <c r="O340" i="1"/>
  <c r="C340" i="1"/>
  <c r="B340" i="1"/>
  <c r="C339" i="1"/>
  <c r="B339" i="1"/>
  <c r="C338" i="1"/>
  <c r="B338" i="1"/>
  <c r="N337" i="1"/>
  <c r="O337" i="1"/>
  <c r="C337" i="1"/>
  <c r="B337" i="1"/>
  <c r="N336" i="1"/>
  <c r="O336" i="1"/>
  <c r="C336" i="1"/>
  <c r="B336" i="1"/>
  <c r="N332" i="1"/>
  <c r="N333" i="1"/>
  <c r="N334" i="1"/>
  <c r="N335" i="1"/>
  <c r="O332" i="1"/>
  <c r="O333" i="1"/>
  <c r="O334" i="1"/>
  <c r="O335" i="1"/>
  <c r="C335" i="1"/>
  <c r="B335" i="1"/>
  <c r="C334" i="1"/>
  <c r="B334" i="1"/>
  <c r="C333" i="1"/>
  <c r="B333" i="1"/>
  <c r="C332" i="1"/>
  <c r="B332" i="1"/>
  <c r="N325" i="1" l="1"/>
  <c r="N326" i="1"/>
  <c r="N327" i="1"/>
  <c r="N328" i="1"/>
  <c r="N329" i="1"/>
  <c r="N330" i="1"/>
  <c r="N331" i="1"/>
  <c r="O325" i="1"/>
  <c r="O326" i="1"/>
  <c r="O327" i="1"/>
  <c r="O328" i="1"/>
  <c r="O329" i="1"/>
  <c r="O330" i="1"/>
  <c r="O331" i="1"/>
  <c r="C331" i="1"/>
  <c r="B331" i="1"/>
  <c r="C330" i="1"/>
  <c r="B330" i="1"/>
  <c r="C329" i="1"/>
  <c r="B329" i="1"/>
  <c r="C328" i="1"/>
  <c r="B328" i="1"/>
  <c r="C327" i="1"/>
  <c r="B327" i="1"/>
  <c r="C326" i="1"/>
  <c r="B326" i="1"/>
  <c r="C325" i="1"/>
  <c r="B325" i="1"/>
  <c r="N323" i="1"/>
  <c r="N324" i="1"/>
  <c r="O323" i="1"/>
  <c r="O324" i="1"/>
  <c r="C324" i="1"/>
  <c r="B324" i="1"/>
  <c r="C323" i="1"/>
  <c r="B323" i="1"/>
  <c r="N321" i="1"/>
  <c r="N322" i="1"/>
  <c r="O321" i="1"/>
  <c r="O322" i="1"/>
  <c r="C322" i="1"/>
  <c r="B322" i="1"/>
  <c r="C321" i="1"/>
  <c r="B321" i="1"/>
  <c r="N318" i="1"/>
  <c r="N319" i="1"/>
  <c r="N320" i="1"/>
  <c r="O318" i="1"/>
  <c r="O319" i="1"/>
  <c r="O320" i="1"/>
  <c r="C320" i="1"/>
  <c r="B320" i="1"/>
  <c r="C319" i="1"/>
  <c r="B319" i="1"/>
  <c r="C318" i="1"/>
  <c r="B318" i="1"/>
  <c r="N317" i="1"/>
  <c r="O317" i="1"/>
  <c r="C317" i="1"/>
  <c r="B317" i="1"/>
  <c r="B313" i="1"/>
  <c r="B314" i="1"/>
  <c r="B315" i="1"/>
  <c r="B316" i="1"/>
  <c r="C313" i="1"/>
  <c r="C314" i="1"/>
  <c r="C315" i="1"/>
  <c r="C316" i="1"/>
  <c r="N313" i="1"/>
  <c r="N314" i="1"/>
  <c r="N315" i="1"/>
  <c r="N316" i="1"/>
  <c r="O313" i="1"/>
  <c r="O314" i="1"/>
  <c r="O315" i="1"/>
  <c r="O316" i="1"/>
  <c r="B312" i="1"/>
  <c r="C312" i="1"/>
  <c r="N312" i="1"/>
  <c r="O312" i="1"/>
  <c r="B311" i="1"/>
  <c r="C311" i="1"/>
  <c r="N311" i="1"/>
  <c r="O311" i="1"/>
  <c r="N308" i="1" l="1"/>
  <c r="N309" i="1"/>
  <c r="N310" i="1"/>
  <c r="O308" i="1"/>
  <c r="O309" i="1"/>
  <c r="O310" i="1"/>
  <c r="C310" i="1"/>
  <c r="B310" i="1"/>
  <c r="C309" i="1"/>
  <c r="B309" i="1"/>
  <c r="C308" i="1"/>
  <c r="B308" i="1"/>
  <c r="N306" i="1"/>
  <c r="N307" i="1"/>
  <c r="O306" i="1"/>
  <c r="O307" i="1"/>
  <c r="C307" i="1"/>
  <c r="B307" i="1"/>
  <c r="C306" i="1"/>
  <c r="B306" i="1"/>
  <c r="N304" i="1"/>
  <c r="N305" i="1"/>
  <c r="O304" i="1"/>
  <c r="O305" i="1"/>
  <c r="C305" i="1"/>
  <c r="B305" i="1"/>
  <c r="C304" i="1"/>
  <c r="B304" i="1"/>
  <c r="N299" i="1"/>
  <c r="N300" i="1"/>
  <c r="N301" i="1"/>
  <c r="N302" i="1"/>
  <c r="N303" i="1"/>
  <c r="O299" i="1"/>
  <c r="O300" i="1"/>
  <c r="O301" i="1"/>
  <c r="O302" i="1"/>
  <c r="O303" i="1"/>
  <c r="C303" i="1"/>
  <c r="B303" i="1"/>
  <c r="C302" i="1"/>
  <c r="B302" i="1"/>
  <c r="C301" i="1"/>
  <c r="B301" i="1"/>
  <c r="C300" i="1"/>
  <c r="B300" i="1"/>
  <c r="C299" i="1"/>
  <c r="B299" i="1"/>
  <c r="N295" i="1"/>
  <c r="N296" i="1"/>
  <c r="N297" i="1"/>
  <c r="N298" i="1"/>
  <c r="O295" i="1"/>
  <c r="O296" i="1"/>
  <c r="O297" i="1"/>
  <c r="O298" i="1"/>
  <c r="C298" i="1"/>
  <c r="B298" i="1"/>
  <c r="C297" i="1"/>
  <c r="B297" i="1"/>
  <c r="C296" i="1"/>
  <c r="B296" i="1"/>
  <c r="C295" i="1"/>
  <c r="B295" i="1"/>
  <c r="N292" i="1"/>
  <c r="N293" i="1"/>
  <c r="N294" i="1"/>
  <c r="O292" i="1"/>
  <c r="O293" i="1"/>
  <c r="O294" i="1"/>
  <c r="C294" i="1"/>
  <c r="B294" i="1"/>
  <c r="C293" i="1"/>
  <c r="B293" i="1"/>
  <c r="C292" i="1"/>
  <c r="B292" i="1"/>
  <c r="B291" i="1"/>
  <c r="C291" i="1"/>
  <c r="N291" i="1"/>
  <c r="O291" i="1"/>
  <c r="N287" i="1"/>
  <c r="N288" i="1"/>
  <c r="N289" i="1"/>
  <c r="N290" i="1"/>
  <c r="O287" i="1"/>
  <c r="O288" i="1"/>
  <c r="O289" i="1"/>
  <c r="O290" i="1"/>
  <c r="C290" i="1"/>
  <c r="B290" i="1"/>
  <c r="C289" i="1"/>
  <c r="B289" i="1"/>
  <c r="C288" i="1"/>
  <c r="B288" i="1"/>
  <c r="C287" i="1"/>
  <c r="B287" i="1"/>
  <c r="B286" i="1"/>
  <c r="C286" i="1"/>
  <c r="N286" i="1"/>
  <c r="O286" i="1"/>
  <c r="B285" i="1"/>
  <c r="C285" i="1"/>
  <c r="N285" i="1"/>
  <c r="O285" i="1"/>
  <c r="N283" i="1"/>
  <c r="N284" i="1"/>
  <c r="O283" i="1"/>
  <c r="O284" i="1"/>
  <c r="C284" i="1"/>
  <c r="B284" i="1"/>
  <c r="C283" i="1"/>
  <c r="B283" i="1"/>
  <c r="N280" i="1"/>
  <c r="N281" i="1"/>
  <c r="N282" i="1"/>
  <c r="O280" i="1"/>
  <c r="O281" i="1"/>
  <c r="O282" i="1"/>
  <c r="C282" i="1"/>
  <c r="B282" i="1"/>
  <c r="C281" i="1"/>
  <c r="B281" i="1"/>
  <c r="C280" i="1"/>
  <c r="B280" i="1"/>
  <c r="N279" i="1"/>
  <c r="O279" i="1"/>
  <c r="C279" i="1"/>
  <c r="B279" i="1"/>
  <c r="N278" i="1"/>
  <c r="O278" i="1"/>
  <c r="C278" i="1"/>
  <c r="B278" i="1"/>
  <c r="B277" i="1"/>
  <c r="C277" i="1"/>
  <c r="N277" i="1"/>
  <c r="O277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B275" i="1" l="1"/>
  <c r="B276" i="1"/>
  <c r="N275" i="1"/>
  <c r="N276" i="1"/>
  <c r="O275" i="1"/>
  <c r="O276" i="1"/>
  <c r="B272" i="1"/>
  <c r="B273" i="1"/>
  <c r="B274" i="1"/>
  <c r="N272" i="1"/>
  <c r="N273" i="1"/>
  <c r="N274" i="1"/>
  <c r="O272" i="1"/>
  <c r="O273" i="1"/>
  <c r="O274" i="1"/>
  <c r="B270" i="1"/>
  <c r="B271" i="1"/>
  <c r="N270" i="1"/>
  <c r="N271" i="1"/>
  <c r="O270" i="1"/>
  <c r="O271" i="1"/>
  <c r="B267" i="1"/>
  <c r="B268" i="1"/>
  <c r="B269" i="1"/>
  <c r="N267" i="1"/>
  <c r="N268" i="1"/>
  <c r="N269" i="1"/>
  <c r="O267" i="1"/>
  <c r="O268" i="1"/>
  <c r="O269" i="1"/>
  <c r="B266" i="1"/>
  <c r="N266" i="1"/>
  <c r="O266" i="1"/>
  <c r="B265" i="1"/>
  <c r="N265" i="1"/>
  <c r="O265" i="1"/>
  <c r="B261" i="1"/>
  <c r="B262" i="1"/>
  <c r="B263" i="1"/>
  <c r="B264" i="1"/>
  <c r="N261" i="1"/>
  <c r="N262" i="1"/>
  <c r="N263" i="1"/>
  <c r="N264" i="1"/>
  <c r="O261" i="1"/>
  <c r="O262" i="1"/>
  <c r="O263" i="1"/>
  <c r="O264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N258" i="1"/>
  <c r="N259" i="1"/>
  <c r="N260" i="1"/>
  <c r="O258" i="1"/>
  <c r="O259" i="1"/>
  <c r="O260" i="1"/>
  <c r="N254" i="1" l="1"/>
  <c r="N255" i="1"/>
  <c r="N256" i="1"/>
  <c r="N257" i="1"/>
  <c r="O254" i="1"/>
  <c r="O255" i="1"/>
  <c r="O256" i="1"/>
  <c r="O257" i="1"/>
  <c r="N251" i="1"/>
  <c r="N252" i="1"/>
  <c r="N253" i="1"/>
  <c r="O251" i="1"/>
  <c r="O252" i="1"/>
  <c r="O253" i="1"/>
  <c r="N248" i="1"/>
  <c r="N249" i="1"/>
  <c r="N250" i="1"/>
  <c r="O248" i="1"/>
  <c r="O249" i="1"/>
  <c r="O250" i="1"/>
  <c r="N244" i="1"/>
  <c r="N245" i="1"/>
  <c r="N246" i="1"/>
  <c r="N247" i="1"/>
  <c r="O244" i="1"/>
  <c r="O245" i="1"/>
  <c r="O246" i="1"/>
  <c r="O247" i="1"/>
  <c r="N242" i="1"/>
  <c r="N243" i="1"/>
  <c r="O242" i="1"/>
  <c r="O243" i="1"/>
  <c r="N238" i="1" l="1"/>
  <c r="N239" i="1"/>
  <c r="N240" i="1"/>
  <c r="N241" i="1"/>
  <c r="O238" i="1"/>
  <c r="O239" i="1"/>
  <c r="O240" i="1"/>
  <c r="O241" i="1"/>
  <c r="N235" i="1"/>
  <c r="N236" i="1"/>
  <c r="N237" i="1"/>
  <c r="O235" i="1"/>
  <c r="O236" i="1"/>
  <c r="O237" i="1"/>
  <c r="N230" i="1"/>
  <c r="N231" i="1"/>
  <c r="N232" i="1"/>
  <c r="N233" i="1"/>
  <c r="N234" i="1"/>
  <c r="O230" i="1"/>
  <c r="O231" i="1"/>
  <c r="O232" i="1"/>
  <c r="O233" i="1"/>
  <c r="O234" i="1"/>
  <c r="N229" i="1"/>
  <c r="O229" i="1"/>
  <c r="N223" i="1"/>
  <c r="N224" i="1"/>
  <c r="N225" i="1"/>
  <c r="N226" i="1"/>
  <c r="N227" i="1"/>
  <c r="N228" i="1"/>
  <c r="O223" i="1"/>
  <c r="O224" i="1"/>
  <c r="O225" i="1"/>
  <c r="O226" i="1"/>
  <c r="O227" i="1"/>
  <c r="O228" i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O222" i="1" l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G19" i="2" l="1"/>
  <c r="H1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50F7F0-2B24-4469-BFE6-92B13994DC0F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3B2850-D950-4010-A90E-C9BE91660A52}" name="WorksheetConnection_CapacityMetrics.xlsx!Data" type="102" refreshedVersion="6" minRefreshableVersion="5">
    <extLst>
      <ext xmlns:x15="http://schemas.microsoft.com/office/spreadsheetml/2010/11/main" uri="{DE250136-89BD-433C-8126-D09CA5730AF9}">
        <x15:connection id="Data" autoDelete="1">
          <x15:rangePr sourceName="_xlcn.WorksheetConnection_CapacityMetrics.xlsxData1"/>
        </x15:connection>
      </ext>
    </extLst>
  </connection>
  <connection id="3" xr16:uid="{FA67D82D-D03C-439D-83CA-B32FFBB3C10F}" name="WorksheetConnection_CapacityMetrics.xlsx!Employee" type="102" refreshedVersion="6" minRefreshableVersion="5">
    <extLst>
      <ext xmlns:x15="http://schemas.microsoft.com/office/spreadsheetml/2010/11/main" uri="{DE250136-89BD-433C-8126-D09CA5730AF9}">
        <x15:connection id="Employee">
          <x15:rangePr sourceName="_xlcn.WorksheetConnection_CapacityMetrics.xlsxEmployee1"/>
        </x15:connection>
      </ext>
    </extLst>
  </connection>
</connections>
</file>

<file path=xl/sharedStrings.xml><?xml version="1.0" encoding="utf-8"?>
<sst xmlns="http://schemas.openxmlformats.org/spreadsheetml/2006/main" count="4326" uniqueCount="228">
  <si>
    <t>Assembly</t>
  </si>
  <si>
    <t>Test</t>
  </si>
  <si>
    <t>1204-32</t>
  </si>
  <si>
    <t>1204-30</t>
  </si>
  <si>
    <t>1200-201</t>
  </si>
  <si>
    <t>1204-18</t>
  </si>
  <si>
    <t>1204-10</t>
  </si>
  <si>
    <t>1191-2001-0600</t>
  </si>
  <si>
    <t>1204-1C</t>
  </si>
  <si>
    <t>1204-27</t>
  </si>
  <si>
    <t>1209-0003-0601</t>
  </si>
  <si>
    <t>1200-233</t>
  </si>
  <si>
    <t>PS06R-2Z1M-DT01</t>
  </si>
  <si>
    <t>1209-0002-0600</t>
  </si>
  <si>
    <t>1200-R010-0600</t>
  </si>
  <si>
    <t>1209-0012-0600</t>
  </si>
  <si>
    <t>1200-011</t>
  </si>
  <si>
    <t>1200-413</t>
  </si>
  <si>
    <t>1191-1001-0600</t>
  </si>
  <si>
    <t>1200-203</t>
  </si>
  <si>
    <t>1118-0002-0600</t>
  </si>
  <si>
    <t>1212-005X-2000</t>
  </si>
  <si>
    <t>1204-13</t>
  </si>
  <si>
    <t>1232-013</t>
  </si>
  <si>
    <t>1200-021</t>
  </si>
  <si>
    <t>1200-013</t>
  </si>
  <si>
    <t>1200-213</t>
  </si>
  <si>
    <t>1200-031</t>
  </si>
  <si>
    <t>1200-003</t>
  </si>
  <si>
    <t>1200-023</t>
  </si>
  <si>
    <t>1209-9004-0601</t>
  </si>
  <si>
    <t>2406-013</t>
  </si>
  <si>
    <t>1204-14</t>
  </si>
  <si>
    <t>1212-006X-2000</t>
  </si>
  <si>
    <t>1209-0212-0600</t>
  </si>
  <si>
    <t>1204-29</t>
  </si>
  <si>
    <t>1204-28</t>
  </si>
  <si>
    <t>1204-26</t>
  </si>
  <si>
    <t>1186-3002-0600</t>
  </si>
  <si>
    <t>1204-23</t>
  </si>
  <si>
    <t>1200-053</t>
  </si>
  <si>
    <t>1200-231</t>
  </si>
  <si>
    <t>1204-04</t>
  </si>
  <si>
    <t>1219-0000-0600</t>
  </si>
  <si>
    <t>1200-001</t>
  </si>
  <si>
    <t>1200-C073-0600</t>
  </si>
  <si>
    <t>1209-0001-0601</t>
  </si>
  <si>
    <t>1209-0002-0601</t>
  </si>
  <si>
    <t>1204-25</t>
  </si>
  <si>
    <t>1204-05</t>
  </si>
  <si>
    <t>1200-033</t>
  </si>
  <si>
    <t>1200-H033-0600</t>
  </si>
  <si>
    <t>1204-24</t>
  </si>
  <si>
    <t>1200-R010-0601</t>
  </si>
  <si>
    <t>1204-1B</t>
  </si>
  <si>
    <t>1200-9072-0601</t>
  </si>
  <si>
    <t>1200-H033-0601</t>
  </si>
  <si>
    <t>1200-C001-0601</t>
  </si>
  <si>
    <t>1204-15</t>
  </si>
  <si>
    <t>1200-113</t>
  </si>
  <si>
    <t>1210-0002-0600</t>
  </si>
  <si>
    <t>1204-1F</t>
  </si>
  <si>
    <t>1204-06</t>
  </si>
  <si>
    <t>TSYNC-PCIE-9002</t>
  </si>
  <si>
    <t>1204-02</t>
  </si>
  <si>
    <t>1204-08</t>
  </si>
  <si>
    <t>1200-223</t>
  </si>
  <si>
    <t>1200-H003-0600</t>
  </si>
  <si>
    <t>1204-19</t>
  </si>
  <si>
    <t>1228-0410</t>
  </si>
  <si>
    <t>1191-0041-0600</t>
  </si>
  <si>
    <t>1186-6002-0600</t>
  </si>
  <si>
    <t>1191-9000-0600</t>
  </si>
  <si>
    <t>1228-1110</t>
  </si>
  <si>
    <t>1204-03</t>
  </si>
  <si>
    <t>1204-1A</t>
  </si>
  <si>
    <t>1191-3001-0600</t>
  </si>
  <si>
    <t>1186-3002</t>
  </si>
  <si>
    <t>1200-H433-0600</t>
  </si>
  <si>
    <t>1204-17</t>
  </si>
  <si>
    <t>1200-H134-0601</t>
  </si>
  <si>
    <t>1200-9016-0601</t>
  </si>
  <si>
    <t>1212-006X-0600</t>
  </si>
  <si>
    <t>CA05R-MD15-0001</t>
  </si>
  <si>
    <t>1204-0F</t>
  </si>
  <si>
    <t>1212-005X-0600</t>
  </si>
  <si>
    <t>CA05R-MD25-0001</t>
  </si>
  <si>
    <t>1228-1115-3000</t>
  </si>
  <si>
    <t>1200-9004-0601</t>
  </si>
  <si>
    <t>1221-0011-0600</t>
  </si>
  <si>
    <t>1204-11</t>
  </si>
  <si>
    <t>1200-0437-0600</t>
  </si>
  <si>
    <t>1204-2B</t>
  </si>
  <si>
    <t>1204-3B</t>
  </si>
  <si>
    <t>1200-313</t>
  </si>
  <si>
    <t>1209-0003-0600</t>
  </si>
  <si>
    <t>1</t>
  </si>
  <si>
    <t>Year</t>
  </si>
  <si>
    <t>Date</t>
  </si>
  <si>
    <t>Employee</t>
  </si>
  <si>
    <t>WO/SO</t>
  </si>
  <si>
    <t>Part #</t>
  </si>
  <si>
    <t>Product Family</t>
  </si>
  <si>
    <t>Operation</t>
  </si>
  <si>
    <t>QTY</t>
  </si>
  <si>
    <t>Target Time</t>
  </si>
  <si>
    <t>Actual Time</t>
  </si>
  <si>
    <t>QTY Complete</t>
  </si>
  <si>
    <t>Actual Time/Unit</t>
  </si>
  <si>
    <t>Target/Unit</t>
  </si>
  <si>
    <t>Root Cause</t>
  </si>
  <si>
    <t>DK</t>
  </si>
  <si>
    <t>Option Cards</t>
  </si>
  <si>
    <t>SecureSync</t>
  </si>
  <si>
    <t>MR</t>
  </si>
  <si>
    <t xml:space="preserve">Timing </t>
  </si>
  <si>
    <t>Kits</t>
  </si>
  <si>
    <t>RD</t>
  </si>
  <si>
    <t>KP</t>
  </si>
  <si>
    <t>CS</t>
  </si>
  <si>
    <t>NC-003699</t>
  </si>
  <si>
    <t>NC-003703</t>
  </si>
  <si>
    <t>JO</t>
  </si>
  <si>
    <t>GSG</t>
  </si>
  <si>
    <t>NC-003700</t>
  </si>
  <si>
    <t>Velasync</t>
  </si>
  <si>
    <t>NC-003711</t>
  </si>
  <si>
    <t>DW</t>
  </si>
  <si>
    <t>PC</t>
  </si>
  <si>
    <t>Versasync/PNT</t>
  </si>
  <si>
    <t>ROC-WAR</t>
  </si>
  <si>
    <t>EE</t>
  </si>
  <si>
    <t>Cables</t>
  </si>
  <si>
    <t>1204-1E</t>
  </si>
  <si>
    <t>1228-0110</t>
  </si>
  <si>
    <t>1204-101</t>
  </si>
  <si>
    <t>1200-051</t>
  </si>
  <si>
    <t>29396/29400</t>
  </si>
  <si>
    <t>1191-1002-0600</t>
  </si>
  <si>
    <t>1191-2002</t>
  </si>
  <si>
    <t>1228-2114-3000</t>
  </si>
  <si>
    <t>1228-1115-9001</t>
  </si>
  <si>
    <t>1200-11</t>
  </si>
  <si>
    <t>19396/29400</t>
  </si>
  <si>
    <t>1186-3001-0600</t>
  </si>
  <si>
    <t>29393/29400</t>
  </si>
  <si>
    <t>1200-9058</t>
  </si>
  <si>
    <t>1204-3E</t>
  </si>
  <si>
    <t>1200-9058-0600</t>
  </si>
  <si>
    <t>29463/29371</t>
  </si>
  <si>
    <t>1169-TXFO-0600</t>
  </si>
  <si>
    <t>1200-H003</t>
  </si>
  <si>
    <t>1186-3001</t>
  </si>
  <si>
    <t>1200-133</t>
  </si>
  <si>
    <t>1200-23</t>
  </si>
  <si>
    <t>CA01-0NSA-2050</t>
  </si>
  <si>
    <t>1204-2F</t>
  </si>
  <si>
    <t>1209-0002</t>
  </si>
  <si>
    <t>1228-1410</t>
  </si>
  <si>
    <t>1204-01</t>
  </si>
  <si>
    <t>29199/29200</t>
  </si>
  <si>
    <t>2406-033</t>
  </si>
  <si>
    <t>Configuration</t>
  </si>
  <si>
    <t>1204-21</t>
  </si>
  <si>
    <t>1191-1002</t>
  </si>
  <si>
    <t>1219-0020-0600</t>
  </si>
  <si>
    <t>1209-0004-0601</t>
  </si>
  <si>
    <t>1200-0017-0600</t>
  </si>
  <si>
    <t>finals</t>
  </si>
  <si>
    <t>FYI FOR 0601</t>
  </si>
  <si>
    <t>1200-0227-0600</t>
  </si>
  <si>
    <t>PS06R-2Z1M-DT01  30223</t>
  </si>
  <si>
    <t>1200-0750-0500</t>
  </si>
  <si>
    <t>1204-1D</t>
  </si>
  <si>
    <t>1204-09</t>
  </si>
  <si>
    <t>1200-0702-0500</t>
  </si>
  <si>
    <t>1200-9093-0601</t>
  </si>
  <si>
    <t>1200-9059-0500</t>
  </si>
  <si>
    <t>1191-2001</t>
  </si>
  <si>
    <t>1191-0041</t>
  </si>
  <si>
    <t>1191-0031-0600</t>
  </si>
  <si>
    <t>1200-253</t>
  </si>
  <si>
    <t>1209-0032</t>
  </si>
  <si>
    <t>1209-0032-0600</t>
  </si>
  <si>
    <t>1200-0017</t>
  </si>
  <si>
    <t>1118-0020</t>
  </si>
  <si>
    <t>1191-1001</t>
  </si>
  <si>
    <t>1232-012</t>
  </si>
  <si>
    <t>1232-033</t>
  </si>
  <si>
    <t>1200-0037</t>
  </si>
  <si>
    <t>1200-H003-0601</t>
  </si>
  <si>
    <t>1209-00001-0601</t>
  </si>
  <si>
    <t>1200-2113</t>
  </si>
  <si>
    <t>1200-0701-0500</t>
  </si>
  <si>
    <t>1204-2f</t>
  </si>
  <si>
    <t>1209-0020-0601</t>
  </si>
  <si>
    <t>1191-90003</t>
  </si>
  <si>
    <t>119-1001</t>
  </si>
  <si>
    <t>1200-433</t>
  </si>
  <si>
    <t>1191-2002-0600</t>
  </si>
  <si>
    <t xml:space="preserve">PS06R-2Z1M-DT01 </t>
  </si>
  <si>
    <t>65941-1</t>
  </si>
  <si>
    <t>65941-2</t>
  </si>
  <si>
    <t>1200-H002-0601</t>
  </si>
  <si>
    <t>Product Families Standards</t>
  </si>
  <si>
    <t>Employees</t>
  </si>
  <si>
    <t>Initials</t>
  </si>
  <si>
    <t>Paid Time</t>
  </si>
  <si>
    <t>Prod. Fam.</t>
  </si>
  <si>
    <t>Aloun Siharath</t>
  </si>
  <si>
    <t>AS</t>
  </si>
  <si>
    <t>Chan Siharath</t>
  </si>
  <si>
    <t>Donald Kinney</t>
  </si>
  <si>
    <t>David West</t>
  </si>
  <si>
    <t>Jhane Olandese</t>
  </si>
  <si>
    <t>Karen Petzold</t>
  </si>
  <si>
    <t>Kathy Ross</t>
  </si>
  <si>
    <t>KR</t>
  </si>
  <si>
    <t>Melissa Ryan</t>
  </si>
  <si>
    <t>Russ Daykin</t>
  </si>
  <si>
    <t>Ryan Zazzara</t>
  </si>
  <si>
    <t>RZ</t>
  </si>
  <si>
    <t>Van Hall</t>
  </si>
  <si>
    <t>VH</t>
  </si>
  <si>
    <t>Eddie English</t>
  </si>
  <si>
    <t>Patrick Crumity</t>
  </si>
  <si>
    <t>Product Families Goals</t>
  </si>
  <si>
    <t>Build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</si>
</sst>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hh:mm:ss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164" fontId="0" fillId="0" borderId="0" xfId="0" applyNumberForma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65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5">
    <dxf>
      <numFmt numFmtId="0" formatCode="General"/>
    </dxf>
    <dxf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5BF454-CF28-4922-B89E-A8AC7FEBE41F}" name="Data" displayName="Data" ref="B2:P1061" totalsRowShown="0" headerRowDxfId="34" dataDxfId="33">
  <autoFilter ref="B2:P1061" xr:uid="{F1CB24BA-B49D-48B7-81FD-20B93D6282C1}"/>
  <tableColumns count="15">
    <tableColumn id="1" xr3:uid="{E5AF0E2A-7DBD-4413-851B-31C4B1FA9899}" name="1" dataDxfId="32">
      <calculatedColumnFormula>WEEKNUM(Data[[#This Row],[Date]],1)</calculatedColumnFormula>
    </tableColumn>
    <tableColumn id="2" xr3:uid="{C0D20C16-9C1E-4F35-B432-FEDFEEFF71FF}" name="Year" dataDxfId="31">
      <calculatedColumnFormula>YEAR(Data[[#This Row],[Date]])</calculatedColumnFormula>
    </tableColumn>
    <tableColumn id="3" xr3:uid="{0C40D55E-7E5B-46B2-BBAC-55628D023E9D}" name="Date" dataDxfId="30"/>
    <tableColumn id="4" xr3:uid="{ED3CC26C-BEAF-413A-8D8F-A7A9B5C84AC1}" name="Employee" dataDxfId="29"/>
    <tableColumn id="5" xr3:uid="{8072151B-F85F-44DF-BE97-4A33C9546586}" name="WO/SO" dataDxfId="28"/>
    <tableColumn id="6" xr3:uid="{FA049A0F-9FCF-4063-BC30-1A7579DDAB5C}" name="Part #" dataDxfId="27"/>
    <tableColumn id="7" xr3:uid="{604EB4D1-E980-43E1-A844-EE200C383450}" name="Product Family" dataDxfId="26"/>
    <tableColumn id="8" xr3:uid="{D8086706-2746-4797-8C34-8C618CAE4D6B}" name="Operation" dataDxfId="25"/>
    <tableColumn id="9" xr3:uid="{E5B033CB-5376-49D4-938B-226FD8E34F89}" name="QTY" dataDxfId="24"/>
    <tableColumn id="10" xr3:uid="{35FDC6B0-52FF-4619-BD95-4D52ABA9F8F9}" name="Target Time" dataDxfId="23">
      <calculatedColumnFormula>J3*(IF(I3=ProdFam[[#Headers],[Test]],(VLOOKUP(Data[[#This Row],[Product Family]],ProdFam[],3,FALSE)),(VLOOKUP(Data[[#This Row],[Product Family]],ProdFam[],2,FALSE))))</calculatedColumnFormula>
    </tableColumn>
    <tableColumn id="11" xr3:uid="{1DCB433B-5446-47B4-BF6C-3D41E9049F8B}" name="Actual Time" dataDxfId="22"/>
    <tableColumn id="12" xr3:uid="{13FBF355-1A70-499E-BA86-9ED2E3DD812B}" name="QTY Complete" dataDxfId="21"/>
    <tableColumn id="15" xr3:uid="{43684677-CC65-4B85-BC76-5ED181E6931B}" name="Actual Time/Unit" dataDxfId="20">
      <calculatedColumnFormula>IFERROR(Data[[#This Row],[Actual Time]]/Data[[#This Row],[QTY Complete]],"")</calculatedColumnFormula>
    </tableColumn>
    <tableColumn id="14" xr3:uid="{EED5DEDB-AE0E-48B1-926E-B0939D369DFA}" name="Target/Unit" dataDxfId="19">
      <calculatedColumnFormula>IF(I3=ProdFam[[#Headers],[Test]],(VLOOKUP(Data[[#This Row],[Product Family]],ProdFam[],3,FALSE)),(VLOOKUP(Data[[#This Row],[Product Family]],ProdFam[],2,FALSE)))</calculatedColumnFormula>
    </tableColumn>
    <tableColumn id="13" xr3:uid="{2F14BCED-8BFA-4244-BFA7-E4107E68859B}" name="Root Caus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F1093A-31A2-4ED5-BC68-14D23271CD62}" name="ProdFam" displayName="ProdFam" ref="B3:D12" totalsRowShown="0" headerRowDxfId="17" headerRowBorderDxfId="16" tableBorderDxfId="15">
  <autoFilter ref="B3:D12" xr:uid="{4154A578-006A-43F5-8864-DCB2FF6CEBDD}"/>
  <tableColumns count="3">
    <tableColumn id="1" xr3:uid="{5B869496-84EC-40F6-BA9F-CA03638DAD95}" name="Prod. Fam." dataDxfId="14"/>
    <tableColumn id="2" xr3:uid="{1C90D64A-9B3F-42D5-A307-2FDD0C83878E}" name="Assembly"/>
    <tableColumn id="3" xr3:uid="{20C8D6BC-0198-4C67-8732-AEB54C10FAB8}" name="Tes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BE880-84E0-4452-BEF3-41661A006B0A}" name="Employee" displayName="Employee" ref="G2:J15" totalsRowShown="0" headerRowDxfId="13" headerRowBorderDxfId="12" tableBorderDxfId="11">
  <autoFilter ref="G2:J15" xr:uid="{EDCDA39F-8F17-412F-B4F7-7F306547FB1E}"/>
  <tableColumns count="4">
    <tableColumn id="1" xr3:uid="{A8EF89E1-1944-40F9-9E97-6B72821F5432}" name="Employees" dataDxfId="10"/>
    <tableColumn id="2" xr3:uid="{91B80030-A1C8-41DD-8B3D-54AC7D6161F8}" name="Initials" dataDxfId="9"/>
    <tableColumn id="3" xr3:uid="{AFB46A3A-68C9-46AB-880B-0B0C0D46ED74}" name="Paid Time" dataDxfId="8"/>
    <tableColumn id="4" xr3:uid="{6F873935-DCF8-4C56-BE63-CDAE512F0599}" name="Target Tim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A9250-E759-49C0-BFEF-E9AD8908ADC5}" name="Operation" displayName="Operation" ref="L2:L4" totalsRowShown="0" headerRowBorderDxfId="6" tableBorderDxfId="5">
  <autoFilter ref="L2:L4" xr:uid="{B5796F45-629B-4701-A98B-51B3E1056756}"/>
  <tableColumns count="1">
    <tableColumn id="1" xr3:uid="{F3E75B4D-8A1E-451E-BDFA-6C4B5D1F9EDA}" name="Opera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4CDEAD-1182-4B30-A126-901931D5557F}" name="Times" displayName="Times" ref="G18:H19" totalsRowShown="0">
  <autoFilter ref="G18:H19" xr:uid="{72481712-B1D9-4A71-B2B6-2FE709EFD320}"/>
  <tableColumns count="2">
    <tableColumn id="1" xr3:uid="{FFBE1DB8-5441-4B41-B8FB-A02E1FC04984}" name="Paid Time">
      <calculatedColumnFormula>40*60</calculatedColumnFormula>
    </tableColumn>
    <tableColumn id="2" xr3:uid="{0BA7623D-8AFA-4782-9A7F-A7FD26DA3491}" name="Target Time">
      <calculatedColumnFormula>G19*75%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D0504F-61CA-4A41-AE5C-421A2EC1F18C}" name="ProdFam4" displayName="ProdFam4" ref="B23:D32" totalsRowShown="0" headerRowDxfId="4" headerRowBorderDxfId="3" tableBorderDxfId="2">
  <autoFilter ref="B23:D32" xr:uid="{B6371082-905A-4C73-AC4A-0DF1CBD8D6C5}"/>
  <tableColumns count="3">
    <tableColumn id="1" xr3:uid="{1DA75002-DE4E-481C-B0C1-56F0BB3C1758}" name="Prod. Fam." dataDxfId="1"/>
    <tableColumn id="2" xr3:uid="{99A09B7C-84BA-4F8D-BF06-BE3420F26816}" name="QTY"/>
    <tableColumn id="3" xr3:uid="{D6F10712-3664-4291-AF66-535B6007983F}" name="Build Time" dataDxfId="0">
      <calculatedColumnFormula>(C4+D4)*ProdFam4[[#This Row],[QTY]]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C0DE5-0C1F-46AE-A5DD-C3C3E91174DE}">
  <sheetPr codeName="Sheet2">
    <tabColor rgb="FFFFFF00"/>
  </sheetPr>
  <dimension ref="B2:P1061"/>
  <sheetViews>
    <sheetView tabSelected="1" topLeftCell="D1" zoomScale="115" zoomScaleNormal="115" workbookViewId="0">
      <pane ySplit="2" topLeftCell="A3" activePane="bottomLeft" state="frozen"/>
      <selection pane="bottomLeft" activeCell="H4" sqref="H4"/>
    </sheetView>
  </sheetViews>
  <sheetFormatPr defaultColWidth="9.140625" defaultRowHeight="15" x14ac:dyDescent="0.25"/>
  <cols>
    <col min="1" max="1" width="9.140625" style="1"/>
    <col min="2" max="2" width="10.7109375" style="1" bestFit="1" customWidth="1"/>
    <col min="3" max="3" width="9.140625" style="1"/>
    <col min="4" max="4" width="10.7109375" style="5" bestFit="1" customWidth="1"/>
    <col min="5" max="5" width="10.85546875" style="1" customWidth="1"/>
    <col min="6" max="6" width="10.42578125" style="1" customWidth="1"/>
    <col min="7" max="7" width="17" style="1" customWidth="1"/>
    <col min="8" max="8" width="14.7109375" style="1" customWidth="1"/>
    <col min="9" max="9" width="11.140625" style="1" customWidth="1"/>
    <col min="10" max="10" width="9.140625" style="1"/>
    <col min="11" max="11" width="12.42578125" style="1" customWidth="1"/>
    <col min="12" max="12" width="12.28515625" style="1" customWidth="1"/>
    <col min="13" max="13" width="14.42578125" style="1" customWidth="1"/>
    <col min="14" max="15" width="15.5703125" style="7" customWidth="1"/>
    <col min="16" max="16" width="11.85546875" style="1" customWidth="1"/>
    <col min="17" max="16384" width="9.140625" style="1"/>
  </cols>
  <sheetData>
    <row r="2" spans="2:16" s="2" customFormat="1" ht="12.75" x14ac:dyDescent="0.25">
      <c r="B2" s="2" t="s">
        <v>96</v>
      </c>
      <c r="C2" s="2" t="s">
        <v>97</v>
      </c>
      <c r="D2" s="31" t="s">
        <v>98</v>
      </c>
      <c r="E2" s="32" t="s">
        <v>99</v>
      </c>
      <c r="F2" s="32" t="s">
        <v>100</v>
      </c>
      <c r="G2" s="32" t="s">
        <v>101</v>
      </c>
      <c r="H2" s="33" t="s">
        <v>102</v>
      </c>
      <c r="I2" s="33" t="s">
        <v>103</v>
      </c>
      <c r="J2" s="32" t="s">
        <v>104</v>
      </c>
      <c r="K2" s="2" t="s">
        <v>105</v>
      </c>
      <c r="L2" s="32" t="s">
        <v>106</v>
      </c>
      <c r="M2" s="32" t="s">
        <v>107</v>
      </c>
      <c r="N2" s="6" t="s">
        <v>108</v>
      </c>
      <c r="O2" s="6" t="s">
        <v>109</v>
      </c>
      <c r="P2" s="2" t="s">
        <v>110</v>
      </c>
    </row>
    <row r="3" spans="2:16" x14ac:dyDescent="0.25">
      <c r="B3" s="1">
        <f>WEEKNUM(Data[[#This Row],[Date]],1)</f>
        <v>41</v>
      </c>
      <c r="C3" s="1">
        <f>YEAR(Data[[#This Row],[Date]])</f>
        <v>2019</v>
      </c>
      <c r="D3" s="5">
        <v>43747</v>
      </c>
      <c r="E3" s="1" t="s">
        <v>111</v>
      </c>
      <c r="F3" s="1">
        <v>28400</v>
      </c>
      <c r="G3" s="1" t="s">
        <v>2</v>
      </c>
      <c r="H3" s="1" t="s">
        <v>112</v>
      </c>
      <c r="I3" s="1" t="s">
        <v>1</v>
      </c>
      <c r="J3" s="1">
        <v>9</v>
      </c>
      <c r="K3" s="1">
        <f>J3*(IF(I3=ProdFam[[#Headers],[Test]],(VLOOKUP(Data[[#This Row],[Product Family]],ProdFam[],3,FALSE)),(VLOOKUP(Data[[#This Row],[Product Family]],ProdFam[],2,FALSE))))</f>
        <v>90</v>
      </c>
      <c r="L3" s="1">
        <v>90</v>
      </c>
      <c r="M3" s="1">
        <v>9</v>
      </c>
      <c r="N3" s="7">
        <f>IFERROR(Data[[#This Row],[Actual Time]]/Data[[#This Row],[QTY Complete]],"")</f>
        <v>10</v>
      </c>
      <c r="O3" s="7">
        <f>IF(I3=ProdFam[[#Headers],[Test]],(VLOOKUP(Data[[#This Row],[Product Family]],ProdFam[],3,FALSE)),(VLOOKUP(Data[[#This Row],[Product Family]],ProdFam[],2,FALSE)))</f>
        <v>10</v>
      </c>
    </row>
    <row r="4" spans="2:16" x14ac:dyDescent="0.25">
      <c r="B4" s="1">
        <f>WEEKNUM(Data[[#This Row],[Date]],1)</f>
        <v>41</v>
      </c>
      <c r="C4" s="1">
        <f>YEAR(Data[[#This Row],[Date]])</f>
        <v>2019</v>
      </c>
      <c r="D4" s="5">
        <v>43747</v>
      </c>
      <c r="E4" s="1" t="s">
        <v>111</v>
      </c>
      <c r="F4" s="1">
        <v>28474</v>
      </c>
      <c r="G4" s="1" t="s">
        <v>3</v>
      </c>
      <c r="H4" s="1" t="s">
        <v>112</v>
      </c>
      <c r="I4" s="1" t="s">
        <v>1</v>
      </c>
      <c r="J4" s="1">
        <v>3</v>
      </c>
      <c r="K4" s="1">
        <f>J4*(IF(I4=ProdFam[[#Headers],[Test]],(VLOOKUP(Data[[#This Row],[Product Family]],ProdFam[],3,FALSE)),(VLOOKUP(Data[[#This Row],[Product Family]],ProdFam[],2,FALSE))))</f>
        <v>30</v>
      </c>
      <c r="L4" s="1">
        <v>30</v>
      </c>
      <c r="M4" s="1">
        <v>3</v>
      </c>
      <c r="N4" s="7">
        <f>IFERROR(Data[[#This Row],[Actual Time]]/Data[[#This Row],[QTY Complete]],"")</f>
        <v>10</v>
      </c>
      <c r="O4" s="7">
        <f>IF(I4=ProdFam[[#Headers],[Test]],(VLOOKUP(Data[[#This Row],[Product Family]],ProdFam[],3,FALSE)),(VLOOKUP(Data[[#This Row],[Product Family]],ProdFam[],2,FALSE)))</f>
        <v>10</v>
      </c>
    </row>
    <row r="5" spans="2:16" x14ac:dyDescent="0.25">
      <c r="B5" s="1">
        <f>WEEKNUM(Data[[#This Row],[Date]],1)</f>
        <v>41</v>
      </c>
      <c r="C5" s="1">
        <f>YEAR(Data[[#This Row],[Date]])</f>
        <v>2019</v>
      </c>
      <c r="D5" s="5">
        <v>43747</v>
      </c>
      <c r="E5" s="1" t="s">
        <v>111</v>
      </c>
      <c r="F5" s="1">
        <v>28482</v>
      </c>
      <c r="G5" s="1" t="s">
        <v>4</v>
      </c>
      <c r="H5" s="1" t="s">
        <v>113</v>
      </c>
      <c r="I5" s="1" t="s">
        <v>1</v>
      </c>
      <c r="J5" s="1">
        <v>3</v>
      </c>
      <c r="K5" s="1">
        <f>J5*(IF(I5=ProdFam[[#Headers],[Test]],(VLOOKUP(Data[[#This Row],[Product Family]],ProdFam[],3,FALSE)),(VLOOKUP(Data[[#This Row],[Product Family]],ProdFam[],2,FALSE))))</f>
        <v>96</v>
      </c>
      <c r="L5" s="1">
        <v>30</v>
      </c>
      <c r="M5" s="1">
        <v>0</v>
      </c>
      <c r="N5" s="7" t="str">
        <f>IFERROR(Data[[#This Row],[Actual Time]]/Data[[#This Row],[QTY Complete]],"")</f>
        <v/>
      </c>
      <c r="O5" s="7">
        <f>IF(I5=ProdFam[[#Headers],[Test]],(VLOOKUP(Data[[#This Row],[Product Family]],ProdFam[],3,FALSE)),(VLOOKUP(Data[[#This Row],[Product Family]],ProdFam[],2,FALSE)))</f>
        <v>32</v>
      </c>
    </row>
    <row r="6" spans="2:16" x14ac:dyDescent="0.25">
      <c r="B6" s="1">
        <f>WEEKNUM(Data[[#This Row],[Date]],1)</f>
        <v>41</v>
      </c>
      <c r="C6" s="1">
        <f>YEAR(Data[[#This Row],[Date]])</f>
        <v>2019</v>
      </c>
      <c r="D6" s="5">
        <v>43747</v>
      </c>
      <c r="E6" s="1" t="s">
        <v>111</v>
      </c>
      <c r="F6" s="1">
        <v>28482</v>
      </c>
      <c r="G6" s="1" t="s">
        <v>4</v>
      </c>
      <c r="H6" s="1" t="s">
        <v>113</v>
      </c>
      <c r="I6" s="1" t="s">
        <v>1</v>
      </c>
      <c r="J6" s="1">
        <v>3</v>
      </c>
      <c r="K6" s="1">
        <f>J6*(IF(I6=ProdFam[[#Headers],[Test]],(VLOOKUP(Data[[#This Row],[Product Family]],ProdFam[],3,FALSE)),(VLOOKUP(Data[[#This Row],[Product Family]],ProdFam[],2,FALSE))))</f>
        <v>96</v>
      </c>
      <c r="L6" s="1">
        <v>120</v>
      </c>
      <c r="M6" s="1">
        <v>2</v>
      </c>
      <c r="N6" s="7">
        <f>IFERROR(Data[[#This Row],[Actual Time]]/Data[[#This Row],[QTY Complete]],"")</f>
        <v>60</v>
      </c>
      <c r="O6" s="7">
        <f>IF(I6=ProdFam[[#Headers],[Test]],(VLOOKUP(Data[[#This Row],[Product Family]],ProdFam[],3,FALSE)),(VLOOKUP(Data[[#This Row],[Product Family]],ProdFam[],2,FALSE)))</f>
        <v>32</v>
      </c>
    </row>
    <row r="7" spans="2:16" x14ac:dyDescent="0.25">
      <c r="B7" s="1">
        <f>WEEKNUM(Data[[#This Row],[Date]],1)</f>
        <v>41</v>
      </c>
      <c r="C7" s="1">
        <f>YEAR(Data[[#This Row],[Date]])</f>
        <v>2019</v>
      </c>
      <c r="D7" s="5">
        <v>43747</v>
      </c>
      <c r="E7" s="1" t="s">
        <v>114</v>
      </c>
      <c r="F7" s="1">
        <v>28453</v>
      </c>
      <c r="G7" s="1" t="s">
        <v>5</v>
      </c>
      <c r="H7" s="1" t="s">
        <v>112</v>
      </c>
      <c r="I7" s="1" t="s">
        <v>0</v>
      </c>
      <c r="J7" s="1">
        <v>6</v>
      </c>
      <c r="K7" s="1">
        <f>J7*(IF(I7=ProdFam[[#Headers],[Test]],(VLOOKUP(Data[[#This Row],[Product Family]],ProdFam[],3,FALSE)),(VLOOKUP(Data[[#This Row],[Product Family]],ProdFam[],2,FALSE))))</f>
        <v>60</v>
      </c>
      <c r="L7" s="1">
        <v>10</v>
      </c>
      <c r="M7" s="1">
        <v>0</v>
      </c>
      <c r="N7" s="7" t="str">
        <f>IFERROR(Data[[#This Row],[Actual Time]]/Data[[#This Row],[QTY Complete]],"")</f>
        <v/>
      </c>
      <c r="O7" s="7">
        <f>IF(I7=ProdFam[[#Headers],[Test]],(VLOOKUP(Data[[#This Row],[Product Family]],ProdFam[],3,FALSE)),(VLOOKUP(Data[[#This Row],[Product Family]],ProdFam[],2,FALSE)))</f>
        <v>10</v>
      </c>
    </row>
    <row r="8" spans="2:16" x14ac:dyDescent="0.25">
      <c r="B8" s="1">
        <f>WEEKNUM(Data[[#This Row],[Date]],1)</f>
        <v>41</v>
      </c>
      <c r="C8" s="1">
        <f>YEAR(Data[[#This Row],[Date]])</f>
        <v>2019</v>
      </c>
      <c r="D8" s="5">
        <v>43747</v>
      </c>
      <c r="E8" s="1" t="s">
        <v>114</v>
      </c>
      <c r="F8" s="1">
        <v>28504</v>
      </c>
      <c r="G8" s="1" t="s">
        <v>6</v>
      </c>
      <c r="H8" s="1" t="s">
        <v>112</v>
      </c>
      <c r="I8" s="1" t="s">
        <v>0</v>
      </c>
      <c r="J8" s="1">
        <v>4</v>
      </c>
      <c r="K8" s="1">
        <f>J8*(IF(I8=ProdFam[[#Headers],[Test]],(VLOOKUP(Data[[#This Row],[Product Family]],ProdFam[],3,FALSE)),(VLOOKUP(Data[[#This Row],[Product Family]],ProdFam[],2,FALSE))))</f>
        <v>40</v>
      </c>
      <c r="L8" s="1">
        <v>10</v>
      </c>
      <c r="M8" s="1">
        <v>0</v>
      </c>
      <c r="N8" s="7" t="str">
        <f>IFERROR(Data[[#This Row],[Actual Time]]/Data[[#This Row],[QTY Complete]],"")</f>
        <v/>
      </c>
      <c r="O8" s="7">
        <f>IF(I8=ProdFam[[#Headers],[Test]],(VLOOKUP(Data[[#This Row],[Product Family]],ProdFam[],3,FALSE)),(VLOOKUP(Data[[#This Row],[Product Family]],ProdFam[],2,FALSE)))</f>
        <v>10</v>
      </c>
    </row>
    <row r="9" spans="2:16" x14ac:dyDescent="0.25">
      <c r="B9" s="1">
        <f>WEEKNUM(Data[[#This Row],[Date]],1)</f>
        <v>41</v>
      </c>
      <c r="C9" s="1">
        <f>YEAR(Data[[#This Row],[Date]])</f>
        <v>2019</v>
      </c>
      <c r="D9" s="5">
        <v>43747</v>
      </c>
      <c r="E9" s="1" t="s">
        <v>114</v>
      </c>
      <c r="F9" s="1">
        <v>28506</v>
      </c>
      <c r="G9" s="1" t="s">
        <v>7</v>
      </c>
      <c r="H9" s="1" t="s">
        <v>115</v>
      </c>
      <c r="I9" s="1" t="s">
        <v>0</v>
      </c>
      <c r="J9" s="1">
        <v>3</v>
      </c>
      <c r="K9" s="1">
        <f>J9*(IF(I9=ProdFam[[#Headers],[Test]],(VLOOKUP(Data[[#This Row],[Product Family]],ProdFam[],3,FALSE)),(VLOOKUP(Data[[#This Row],[Product Family]],ProdFam[],2,FALSE))))</f>
        <v>24</v>
      </c>
      <c r="L9" s="1">
        <v>10</v>
      </c>
      <c r="M9" s="1">
        <v>0</v>
      </c>
      <c r="N9" s="7" t="str">
        <f>IFERROR(Data[[#This Row],[Actual Time]]/Data[[#This Row],[QTY Complete]],"")</f>
        <v/>
      </c>
      <c r="O9" s="7">
        <f>IF(I9=ProdFam[[#Headers],[Test]],(VLOOKUP(Data[[#This Row],[Product Family]],ProdFam[],3,FALSE)),(VLOOKUP(Data[[#This Row],[Product Family]],ProdFam[],2,FALSE)))</f>
        <v>8</v>
      </c>
    </row>
    <row r="10" spans="2:16" x14ac:dyDescent="0.25">
      <c r="B10" s="1">
        <f>WEEKNUM(Data[[#This Row],[Date]],1)</f>
        <v>41</v>
      </c>
      <c r="C10" s="1">
        <f>YEAR(Data[[#This Row],[Date]])</f>
        <v>2019</v>
      </c>
      <c r="D10" s="5">
        <v>43747</v>
      </c>
      <c r="E10" s="1" t="s">
        <v>114</v>
      </c>
      <c r="F10" s="1">
        <v>28450</v>
      </c>
      <c r="G10" s="1" t="s">
        <v>8</v>
      </c>
      <c r="H10" s="1" t="s">
        <v>112</v>
      </c>
      <c r="I10" s="1" t="s">
        <v>0</v>
      </c>
      <c r="J10" s="1">
        <v>21</v>
      </c>
      <c r="K10" s="1">
        <f>J10*(IF(I10=ProdFam[[#Headers],[Test]],(VLOOKUP(Data[[#This Row],[Product Family]],ProdFam[],3,FALSE)),(VLOOKUP(Data[[#This Row],[Product Family]],ProdFam[],2,FALSE))))</f>
        <v>210</v>
      </c>
      <c r="L10" s="1">
        <v>25</v>
      </c>
      <c r="M10" s="1">
        <v>0</v>
      </c>
      <c r="N10" s="7" t="str">
        <f>IFERROR(Data[[#This Row],[Actual Time]]/Data[[#This Row],[QTY Complete]],"")</f>
        <v/>
      </c>
      <c r="O10" s="7">
        <f>IF(I10=ProdFam[[#Headers],[Test]],(VLOOKUP(Data[[#This Row],[Product Family]],ProdFam[],3,FALSE)),(VLOOKUP(Data[[#This Row],[Product Family]],ProdFam[],2,FALSE)))</f>
        <v>10</v>
      </c>
    </row>
    <row r="11" spans="2:16" x14ac:dyDescent="0.25">
      <c r="B11" s="1">
        <f>WEEKNUM(Data[[#This Row],[Date]],1)</f>
        <v>41</v>
      </c>
      <c r="C11" s="1">
        <f>YEAR(Data[[#This Row],[Date]])</f>
        <v>2019</v>
      </c>
      <c r="D11" s="5">
        <v>43747</v>
      </c>
      <c r="E11" s="1" t="s">
        <v>114</v>
      </c>
      <c r="F11" s="1">
        <v>28507</v>
      </c>
      <c r="G11" s="1" t="s">
        <v>9</v>
      </c>
      <c r="H11" s="1" t="s">
        <v>112</v>
      </c>
      <c r="I11" s="1" t="s">
        <v>0</v>
      </c>
      <c r="J11" s="1">
        <v>9</v>
      </c>
      <c r="K11" s="1">
        <f>J11*(IF(I11=ProdFam[[#Headers],[Test]],(VLOOKUP(Data[[#This Row],[Product Family]],ProdFam[],3,FALSE)),(VLOOKUP(Data[[#This Row],[Product Family]],ProdFam[],2,FALSE))))</f>
        <v>90</v>
      </c>
      <c r="L11" s="1">
        <v>150</v>
      </c>
      <c r="M11" s="1">
        <v>0</v>
      </c>
      <c r="N11" s="7" t="str">
        <f>IFERROR(Data[[#This Row],[Actual Time]]/Data[[#This Row],[QTY Complete]],"")</f>
        <v/>
      </c>
      <c r="O11" s="7">
        <f>IF(I11=ProdFam[[#Headers],[Test]],(VLOOKUP(Data[[#This Row],[Product Family]],ProdFam[],3,FALSE)),(VLOOKUP(Data[[#This Row],[Product Family]],ProdFam[],2,FALSE)))</f>
        <v>10</v>
      </c>
    </row>
    <row r="12" spans="2:16" x14ac:dyDescent="0.25">
      <c r="B12" s="1">
        <f>WEEKNUM(Data[[#This Row],[Date]],1)</f>
        <v>41</v>
      </c>
      <c r="C12" s="1">
        <f>YEAR(Data[[#This Row],[Date]])</f>
        <v>2019</v>
      </c>
      <c r="D12" s="5">
        <v>43747</v>
      </c>
      <c r="E12" s="1" t="s">
        <v>114</v>
      </c>
      <c r="F12" s="1">
        <v>28515</v>
      </c>
      <c r="G12" s="1" t="s">
        <v>10</v>
      </c>
      <c r="H12" s="1" t="s">
        <v>113</v>
      </c>
      <c r="I12" s="1" t="s">
        <v>0</v>
      </c>
      <c r="J12" s="1">
        <v>1</v>
      </c>
      <c r="K12" s="1">
        <f>J12*(IF(I12=ProdFam[[#Headers],[Test]],(VLOOKUP(Data[[#This Row],[Product Family]],ProdFam[],3,FALSE)),(VLOOKUP(Data[[#This Row],[Product Family]],ProdFam[],2,FALSE))))</f>
        <v>47</v>
      </c>
      <c r="L12" s="1">
        <v>25</v>
      </c>
      <c r="M12" s="1">
        <v>0</v>
      </c>
      <c r="N12" s="7" t="str">
        <f>IFERROR(Data[[#This Row],[Actual Time]]/Data[[#This Row],[QTY Complete]],"")</f>
        <v/>
      </c>
      <c r="O12" s="7">
        <f>IF(I12=ProdFam[[#Headers],[Test]],(VLOOKUP(Data[[#This Row],[Product Family]],ProdFam[],3,FALSE)),(VLOOKUP(Data[[#This Row],[Product Family]],ProdFam[],2,FALSE)))</f>
        <v>47</v>
      </c>
    </row>
    <row r="13" spans="2:16" x14ac:dyDescent="0.25">
      <c r="B13" s="1">
        <f>WEEKNUM(Data[[#This Row],[Date]],1)</f>
        <v>41</v>
      </c>
      <c r="C13" s="1">
        <f>YEAR(Data[[#This Row],[Date]])</f>
        <v>2019</v>
      </c>
      <c r="D13" s="5">
        <v>43747</v>
      </c>
      <c r="E13" s="1" t="s">
        <v>114</v>
      </c>
      <c r="F13" s="1">
        <v>59198</v>
      </c>
      <c r="G13" s="1" t="s">
        <v>11</v>
      </c>
      <c r="H13" s="1" t="s">
        <v>162</v>
      </c>
      <c r="I13" s="1" t="s">
        <v>0</v>
      </c>
      <c r="J13" s="1">
        <v>4</v>
      </c>
      <c r="K13" s="1">
        <f>J13*(IF(I13=ProdFam[[#Headers],[Test]],(VLOOKUP(Data[[#This Row],[Product Family]],ProdFam[],3,FALSE)),(VLOOKUP(Data[[#This Row],[Product Family]],ProdFam[],2,FALSE))))</f>
        <v>40</v>
      </c>
      <c r="L13" s="1">
        <v>25</v>
      </c>
      <c r="M13" s="1">
        <v>0</v>
      </c>
      <c r="N13" s="7" t="str">
        <f>IFERROR(Data[[#This Row],[Actual Time]]/Data[[#This Row],[QTY Complete]],"")</f>
        <v/>
      </c>
      <c r="O13" s="7">
        <f>IF(I13=ProdFam[[#Headers],[Test]],(VLOOKUP(Data[[#This Row],[Product Family]],ProdFam[],3,FALSE)),(VLOOKUP(Data[[#This Row],[Product Family]],ProdFam[],2,FALSE)))</f>
        <v>10</v>
      </c>
    </row>
    <row r="14" spans="2:16" x14ac:dyDescent="0.25">
      <c r="B14" s="1">
        <f>WEEKNUM(Data[[#This Row],[Date]],1)</f>
        <v>41</v>
      </c>
      <c r="C14" s="1">
        <f>YEAR(Data[[#This Row],[Date]])</f>
        <v>2019</v>
      </c>
      <c r="D14" s="5">
        <v>43747</v>
      </c>
      <c r="E14" s="1" t="s">
        <v>114</v>
      </c>
      <c r="F14" s="1">
        <v>28516</v>
      </c>
      <c r="G14" s="1" t="s">
        <v>12</v>
      </c>
      <c r="H14" s="1" t="s">
        <v>116</v>
      </c>
      <c r="I14" s="1" t="s">
        <v>0</v>
      </c>
      <c r="J14" s="1">
        <v>10</v>
      </c>
      <c r="K14" s="1">
        <f>J14*(IF(I14=ProdFam[[#Headers],[Test]],(VLOOKUP(Data[[#This Row],[Product Family]],ProdFam[],3,FALSE)),(VLOOKUP(Data[[#This Row],[Product Family]],ProdFam[],2,FALSE))))</f>
        <v>50</v>
      </c>
      <c r="L14" s="1">
        <v>55</v>
      </c>
      <c r="M14" s="1">
        <v>0</v>
      </c>
      <c r="N14" s="7" t="str">
        <f>IFERROR(Data[[#This Row],[Actual Time]]/Data[[#This Row],[QTY Complete]],"")</f>
        <v/>
      </c>
      <c r="O14" s="7">
        <f>IF(I14=ProdFam[[#Headers],[Test]],(VLOOKUP(Data[[#This Row],[Product Family]],ProdFam[],3,FALSE)),(VLOOKUP(Data[[#This Row],[Product Family]],ProdFam[],2,FALSE)))</f>
        <v>5</v>
      </c>
    </row>
    <row r="15" spans="2:16" x14ac:dyDescent="0.25">
      <c r="B15" s="1">
        <f>WEEKNUM(Data[[#This Row],[Date]],1)</f>
        <v>41</v>
      </c>
      <c r="C15" s="1">
        <f>YEAR(Data[[#This Row],[Date]])</f>
        <v>2019</v>
      </c>
      <c r="D15" s="5">
        <v>43747</v>
      </c>
      <c r="E15" s="1" t="s">
        <v>117</v>
      </c>
      <c r="F15" s="1">
        <v>28398</v>
      </c>
      <c r="G15" s="1" t="s">
        <v>13</v>
      </c>
      <c r="H15" s="1" t="s">
        <v>113</v>
      </c>
      <c r="I15" s="1" t="s">
        <v>1</v>
      </c>
      <c r="J15" s="1">
        <v>4</v>
      </c>
      <c r="K15" s="1">
        <f>J15*(IF(I15=ProdFam[[#Headers],[Test]],(VLOOKUP(Data[[#This Row],[Product Family]],ProdFam[],3,FALSE)),(VLOOKUP(Data[[#This Row],[Product Family]],ProdFam[],2,FALSE))))</f>
        <v>128</v>
      </c>
      <c r="L15" s="1">
        <v>90</v>
      </c>
      <c r="M15" s="1">
        <v>3</v>
      </c>
      <c r="N15" s="7">
        <f>IFERROR(Data[[#This Row],[Actual Time]]/Data[[#This Row],[QTY Complete]],"")</f>
        <v>30</v>
      </c>
      <c r="O15" s="7">
        <f>IF(I15=ProdFam[[#Headers],[Test]],(VLOOKUP(Data[[#This Row],[Product Family]],ProdFam[],3,FALSE)),(VLOOKUP(Data[[#This Row],[Product Family]],ProdFam[],2,FALSE)))</f>
        <v>32</v>
      </c>
    </row>
    <row r="16" spans="2:16" x14ac:dyDescent="0.25">
      <c r="B16" s="1">
        <f>WEEKNUM(Data[[#This Row],[Date]],1)</f>
        <v>41</v>
      </c>
      <c r="C16" s="1">
        <f>YEAR(Data[[#This Row],[Date]])</f>
        <v>2019</v>
      </c>
      <c r="D16" s="5">
        <v>43747</v>
      </c>
      <c r="E16" s="1" t="s">
        <v>118</v>
      </c>
      <c r="F16" s="1">
        <v>28509</v>
      </c>
      <c r="G16" s="1" t="s">
        <v>14</v>
      </c>
      <c r="H16" s="1" t="s">
        <v>113</v>
      </c>
      <c r="I16" s="1" t="s">
        <v>0</v>
      </c>
      <c r="J16" s="1">
        <v>2</v>
      </c>
      <c r="K16" s="1">
        <f>J16*(IF(I16=ProdFam[[#Headers],[Test]],(VLOOKUP(Data[[#This Row],[Product Family]],ProdFam[],3,FALSE)),(VLOOKUP(Data[[#This Row],[Product Family]],ProdFam[],2,FALSE))))</f>
        <v>94</v>
      </c>
      <c r="L16" s="1">
        <v>40</v>
      </c>
      <c r="M16" s="1">
        <v>2</v>
      </c>
      <c r="N16" s="7">
        <f>IFERROR(Data[[#This Row],[Actual Time]]/Data[[#This Row],[QTY Complete]],"")</f>
        <v>20</v>
      </c>
      <c r="O16" s="7">
        <f>IF(I16=ProdFam[[#Headers],[Test]],(VLOOKUP(Data[[#This Row],[Product Family]],ProdFam[],3,FALSE)),(VLOOKUP(Data[[#This Row],[Product Family]],ProdFam[],2,FALSE)))</f>
        <v>47</v>
      </c>
    </row>
    <row r="17" spans="2:16" x14ac:dyDescent="0.25">
      <c r="B17" s="1">
        <f>WEEKNUM(Data[[#This Row],[Date]],1)</f>
        <v>41</v>
      </c>
      <c r="C17" s="1">
        <f>YEAR(Data[[#This Row],[Date]])</f>
        <v>2019</v>
      </c>
      <c r="D17" s="5">
        <v>43747</v>
      </c>
      <c r="E17" s="1" t="s">
        <v>118</v>
      </c>
      <c r="F17" s="1">
        <v>28470</v>
      </c>
      <c r="G17" s="1" t="s">
        <v>15</v>
      </c>
      <c r="H17" s="1" t="s">
        <v>113</v>
      </c>
      <c r="I17" s="1" t="s">
        <v>0</v>
      </c>
      <c r="J17" s="1">
        <v>8</v>
      </c>
      <c r="K17" s="1">
        <f>J17*(IF(I17=ProdFam[[#Headers],[Test]],(VLOOKUP(Data[[#This Row],[Product Family]],ProdFam[],3,FALSE)),(VLOOKUP(Data[[#This Row],[Product Family]],ProdFam[],2,FALSE))))</f>
        <v>376</v>
      </c>
      <c r="L17" s="1">
        <v>320</v>
      </c>
      <c r="M17" s="1">
        <v>8</v>
      </c>
      <c r="N17" s="7">
        <f>IFERROR(Data[[#This Row],[Actual Time]]/Data[[#This Row],[QTY Complete]],"")</f>
        <v>40</v>
      </c>
      <c r="O17" s="7">
        <f>IF(I17=ProdFam[[#Headers],[Test]],(VLOOKUP(Data[[#This Row],[Product Family]],ProdFam[],3,FALSE)),(VLOOKUP(Data[[#This Row],[Product Family]],ProdFam[],2,FALSE)))</f>
        <v>47</v>
      </c>
    </row>
    <row r="18" spans="2:16" x14ac:dyDescent="0.25">
      <c r="B18" s="1">
        <f>WEEKNUM(Data[[#This Row],[Date]],1)</f>
        <v>41</v>
      </c>
      <c r="C18" s="1">
        <f>YEAR(Data[[#This Row],[Date]])</f>
        <v>2019</v>
      </c>
      <c r="D18" s="5">
        <v>43747</v>
      </c>
      <c r="E18" s="1" t="s">
        <v>118</v>
      </c>
      <c r="F18" s="1">
        <v>28508</v>
      </c>
      <c r="G18" s="1" t="s">
        <v>16</v>
      </c>
      <c r="H18" s="1" t="s">
        <v>113</v>
      </c>
      <c r="I18" s="1" t="s">
        <v>0</v>
      </c>
      <c r="J18" s="1">
        <v>8</v>
      </c>
      <c r="K18" s="1">
        <f>J18*(IF(I18=ProdFam[[#Headers],[Test]],(VLOOKUP(Data[[#This Row],[Product Family]],ProdFam[],3,FALSE)),(VLOOKUP(Data[[#This Row],[Product Family]],ProdFam[],2,FALSE))))</f>
        <v>376</v>
      </c>
      <c r="L18" s="1">
        <v>84</v>
      </c>
      <c r="M18" s="1">
        <v>0</v>
      </c>
      <c r="N18" s="7" t="str">
        <f>IFERROR(Data[[#This Row],[Actual Time]]/Data[[#This Row],[QTY Complete]],"")</f>
        <v/>
      </c>
      <c r="O18" s="7">
        <f>IF(I18=ProdFam[[#Headers],[Test]],(VLOOKUP(Data[[#This Row],[Product Family]],ProdFam[],3,FALSE)),(VLOOKUP(Data[[#This Row],[Product Family]],ProdFam[],2,FALSE)))</f>
        <v>47</v>
      </c>
    </row>
    <row r="19" spans="2:16" x14ac:dyDescent="0.25">
      <c r="B19" s="1">
        <f>WEEKNUM(Data[[#This Row],[Date]],1)</f>
        <v>41</v>
      </c>
      <c r="C19" s="1">
        <f>YEAR(Data[[#This Row],[Date]])</f>
        <v>2019</v>
      </c>
      <c r="D19" s="5">
        <v>43747</v>
      </c>
      <c r="E19" s="1" t="s">
        <v>119</v>
      </c>
      <c r="F19" s="1">
        <v>28419</v>
      </c>
      <c r="G19" s="1" t="s">
        <v>17</v>
      </c>
      <c r="H19" s="1" t="s">
        <v>113</v>
      </c>
      <c r="I19" s="1" t="s">
        <v>1</v>
      </c>
      <c r="J19" s="1">
        <v>3</v>
      </c>
      <c r="K19" s="1">
        <f>J19*(IF(I19=ProdFam[[#Headers],[Test]],(VLOOKUP(Data[[#This Row],[Product Family]],ProdFam[],3,FALSE)),(VLOOKUP(Data[[#This Row],[Product Family]],ProdFam[],2,FALSE))))</f>
        <v>96</v>
      </c>
      <c r="L19" s="1">
        <v>45</v>
      </c>
      <c r="M19" s="1">
        <v>3</v>
      </c>
      <c r="N19" s="7">
        <f>IFERROR(Data[[#This Row],[Actual Time]]/Data[[#This Row],[QTY Complete]],"")</f>
        <v>15</v>
      </c>
      <c r="O19" s="7">
        <f>IF(I19=ProdFam[[#Headers],[Test]],(VLOOKUP(Data[[#This Row],[Product Family]],ProdFam[],3,FALSE)),(VLOOKUP(Data[[#This Row],[Product Family]],ProdFam[],2,FALSE)))</f>
        <v>32</v>
      </c>
    </row>
    <row r="20" spans="2:16" x14ac:dyDescent="0.25">
      <c r="B20" s="1">
        <f>WEEKNUM(Data[[#This Row],[Date]],1)</f>
        <v>41</v>
      </c>
      <c r="C20" s="1">
        <f>YEAR(Data[[#This Row],[Date]])</f>
        <v>2019</v>
      </c>
      <c r="D20" s="5">
        <v>43747</v>
      </c>
      <c r="E20" s="1" t="s">
        <v>119</v>
      </c>
      <c r="F20" s="1">
        <v>28509</v>
      </c>
      <c r="G20" s="1" t="s">
        <v>14</v>
      </c>
      <c r="H20" s="1" t="s">
        <v>113</v>
      </c>
      <c r="I20" s="1" t="s">
        <v>1</v>
      </c>
      <c r="J20" s="1">
        <v>2</v>
      </c>
      <c r="K20" s="1">
        <f>J20*(IF(I20=ProdFam[[#Headers],[Test]],(VLOOKUP(Data[[#This Row],[Product Family]],ProdFam[],3,FALSE)),(VLOOKUP(Data[[#This Row],[Product Family]],ProdFam[],2,FALSE))))</f>
        <v>64</v>
      </c>
      <c r="L20" s="1">
        <v>45</v>
      </c>
      <c r="M20" s="1">
        <v>2</v>
      </c>
      <c r="N20" s="7">
        <f>IFERROR(Data[[#This Row],[Actual Time]]/Data[[#This Row],[QTY Complete]],"")</f>
        <v>22.5</v>
      </c>
      <c r="O20" s="7">
        <f>IF(I20=ProdFam[[#Headers],[Test]],(VLOOKUP(Data[[#This Row],[Product Family]],ProdFam[],3,FALSE)),(VLOOKUP(Data[[#This Row],[Product Family]],ProdFam[],2,FALSE)))</f>
        <v>32</v>
      </c>
      <c r="P20" s="1" t="s">
        <v>120</v>
      </c>
    </row>
    <row r="21" spans="2:16" x14ac:dyDescent="0.25">
      <c r="B21" s="1">
        <f>WEEKNUM(Data[[#This Row],[Date]],1)</f>
        <v>41</v>
      </c>
      <c r="C21" s="1">
        <f>YEAR(Data[[#This Row],[Date]])</f>
        <v>2019</v>
      </c>
      <c r="D21" s="5">
        <v>43747</v>
      </c>
      <c r="E21" s="1" t="s">
        <v>119</v>
      </c>
      <c r="F21" s="1">
        <v>28394</v>
      </c>
      <c r="G21" s="1" t="s">
        <v>18</v>
      </c>
      <c r="H21" s="1" t="s">
        <v>115</v>
      </c>
      <c r="I21" s="1" t="s">
        <v>1</v>
      </c>
      <c r="J21" s="1">
        <v>8</v>
      </c>
      <c r="K21" s="1">
        <f>J21*(IF(I21=ProdFam[[#Headers],[Test]],(VLOOKUP(Data[[#This Row],[Product Family]],ProdFam[],3,FALSE)),(VLOOKUP(Data[[#This Row],[Product Family]],ProdFam[],2,FALSE))))</f>
        <v>192</v>
      </c>
      <c r="L21" s="1">
        <v>125</v>
      </c>
      <c r="M21" s="1">
        <v>8</v>
      </c>
      <c r="N21" s="7">
        <f>IFERROR(Data[[#This Row],[Actual Time]]/Data[[#This Row],[QTY Complete]],"")</f>
        <v>15.625</v>
      </c>
      <c r="O21" s="7">
        <f>IF(I21=ProdFam[[#Headers],[Test]],(VLOOKUP(Data[[#This Row],[Product Family]],ProdFam[],3,FALSE)),(VLOOKUP(Data[[#This Row],[Product Family]],ProdFam[],2,FALSE)))</f>
        <v>24</v>
      </c>
    </row>
    <row r="22" spans="2:16" x14ac:dyDescent="0.25">
      <c r="B22" s="1">
        <f>WEEKNUM(Data[[#This Row],[Date]],1)</f>
        <v>41</v>
      </c>
      <c r="C22" s="1">
        <f>YEAR(Data[[#This Row],[Date]])</f>
        <v>2019</v>
      </c>
      <c r="D22" s="5">
        <v>43747</v>
      </c>
      <c r="E22" s="1" t="s">
        <v>119</v>
      </c>
      <c r="F22" s="1">
        <v>28447</v>
      </c>
      <c r="G22" s="1" t="s">
        <v>19</v>
      </c>
      <c r="H22" s="1" t="s">
        <v>113</v>
      </c>
      <c r="I22" s="1" t="s">
        <v>1</v>
      </c>
      <c r="J22" s="1">
        <v>9</v>
      </c>
      <c r="K22" s="1">
        <f>J22*(IF(I22=ProdFam[[#Headers],[Test]],(VLOOKUP(Data[[#This Row],[Product Family]],ProdFam[],3,FALSE)),(VLOOKUP(Data[[#This Row],[Product Family]],ProdFam[],2,FALSE))))</f>
        <v>288</v>
      </c>
      <c r="L22" s="1">
        <v>125</v>
      </c>
      <c r="M22" s="1">
        <v>7</v>
      </c>
      <c r="N22" s="7">
        <f>IFERROR(Data[[#This Row],[Actual Time]]/Data[[#This Row],[QTY Complete]],"")</f>
        <v>17.857142857142858</v>
      </c>
      <c r="O22" s="7">
        <f>IF(I22=ProdFam[[#Headers],[Test]],(VLOOKUP(Data[[#This Row],[Product Family]],ProdFam[],3,FALSE)),(VLOOKUP(Data[[#This Row],[Product Family]],ProdFam[],2,FALSE)))</f>
        <v>32</v>
      </c>
    </row>
    <row r="23" spans="2:16" x14ac:dyDescent="0.25">
      <c r="B23" s="1">
        <f>WEEKNUM(Data[[#This Row],[Date]],1)</f>
        <v>41</v>
      </c>
      <c r="C23" s="1">
        <f>YEAR(Data[[#This Row],[Date]])</f>
        <v>2019</v>
      </c>
      <c r="D23" s="5">
        <v>43747</v>
      </c>
      <c r="E23" s="1" t="s">
        <v>117</v>
      </c>
      <c r="F23" s="1">
        <v>28270</v>
      </c>
      <c r="G23" s="1" t="s">
        <v>20</v>
      </c>
      <c r="H23" s="1" t="s">
        <v>115</v>
      </c>
      <c r="I23" s="1" t="s">
        <v>1</v>
      </c>
      <c r="J23" s="1">
        <v>5</v>
      </c>
      <c r="K23" s="1">
        <f>J23*(IF(I23=ProdFam[[#Headers],[Test]],(VLOOKUP(Data[[#This Row],[Product Family]],ProdFam[],3,FALSE)),(VLOOKUP(Data[[#This Row],[Product Family]],ProdFam[],2,FALSE))))</f>
        <v>120</v>
      </c>
      <c r="L23" s="1">
        <v>240</v>
      </c>
      <c r="M23" s="1">
        <v>5</v>
      </c>
      <c r="N23" s="7">
        <f>IFERROR(Data[[#This Row],[Actual Time]]/Data[[#This Row],[QTY Complete]],"")</f>
        <v>48</v>
      </c>
      <c r="O23" s="7">
        <f>IF(I23=ProdFam[[#Headers],[Test]],(VLOOKUP(Data[[#This Row],[Product Family]],ProdFam[],3,FALSE)),(VLOOKUP(Data[[#This Row],[Product Family]],ProdFam[],2,FALSE)))</f>
        <v>24</v>
      </c>
      <c r="P23" s="1" t="s">
        <v>121</v>
      </c>
    </row>
    <row r="24" spans="2:16" x14ac:dyDescent="0.25">
      <c r="B24" s="1">
        <f>WEEKNUM(Data[[#This Row],[Date]],1)</f>
        <v>41</v>
      </c>
      <c r="C24" s="1">
        <f>YEAR(Data[[#This Row],[Date]])</f>
        <v>2019</v>
      </c>
      <c r="D24" s="5">
        <v>43747</v>
      </c>
      <c r="E24" s="1" t="s">
        <v>122</v>
      </c>
      <c r="F24" s="1">
        <v>28447</v>
      </c>
      <c r="G24" s="1" t="s">
        <v>19</v>
      </c>
      <c r="H24" s="1" t="s">
        <v>113</v>
      </c>
      <c r="I24" s="1" t="s">
        <v>0</v>
      </c>
      <c r="J24" s="1">
        <v>9</v>
      </c>
      <c r="K24" s="1">
        <f>J24*(IF(I24=ProdFam[[#Headers],[Test]],(VLOOKUP(Data[[#This Row],[Product Family]],ProdFam[],3,FALSE)),(VLOOKUP(Data[[#This Row],[Product Family]],ProdFam[],2,FALSE))))</f>
        <v>423</v>
      </c>
      <c r="L24" s="1">
        <v>120</v>
      </c>
      <c r="M24" s="1">
        <v>9</v>
      </c>
      <c r="N24" s="7">
        <f>IFERROR(Data[[#This Row],[Actual Time]]/Data[[#This Row],[QTY Complete]],"")</f>
        <v>13.333333333333334</v>
      </c>
      <c r="O24" s="7">
        <f>IF(I24=ProdFam[[#Headers],[Test]],(VLOOKUP(Data[[#This Row],[Product Family]],ProdFam[],3,FALSE)),(VLOOKUP(Data[[#This Row],[Product Family]],ProdFam[],2,FALSE)))</f>
        <v>47</v>
      </c>
    </row>
    <row r="25" spans="2:16" x14ac:dyDescent="0.25">
      <c r="B25" s="1">
        <f>WEEKNUM(Data[[#This Row],[Date]],1)</f>
        <v>41</v>
      </c>
      <c r="C25" s="1">
        <f>YEAR(Data[[#This Row],[Date]])</f>
        <v>2019</v>
      </c>
      <c r="D25" s="5">
        <v>43747</v>
      </c>
      <c r="E25" s="1" t="s">
        <v>122</v>
      </c>
      <c r="F25" s="1">
        <v>28451</v>
      </c>
      <c r="G25" s="1" t="s">
        <v>21</v>
      </c>
      <c r="H25" s="1" t="s">
        <v>123</v>
      </c>
      <c r="I25" s="1" t="s">
        <v>0</v>
      </c>
      <c r="J25" s="1">
        <v>10</v>
      </c>
      <c r="K25" s="1">
        <f>J25*(IF(I25=ProdFam[[#Headers],[Test]],(VLOOKUP(Data[[#This Row],[Product Family]],ProdFam[],3,FALSE)),(VLOOKUP(Data[[#This Row],[Product Family]],ProdFam[],2,FALSE))))</f>
        <v>900</v>
      </c>
      <c r="L25" s="1">
        <v>390</v>
      </c>
      <c r="M25" s="1">
        <v>0</v>
      </c>
      <c r="N25" s="7" t="str">
        <f>IFERROR(Data[[#This Row],[Actual Time]]/Data[[#This Row],[QTY Complete]],"")</f>
        <v/>
      </c>
      <c r="O25" s="7">
        <f>IF(I25=ProdFam[[#Headers],[Test]],(VLOOKUP(Data[[#This Row],[Product Family]],ProdFam[],3,FALSE)),(VLOOKUP(Data[[#This Row],[Product Family]],ProdFam[],2,FALSE)))</f>
        <v>90</v>
      </c>
    </row>
    <row r="26" spans="2:16" x14ac:dyDescent="0.25">
      <c r="B26" s="1">
        <f>WEEKNUM(Data[[#This Row],[Date]],1)</f>
        <v>41</v>
      </c>
      <c r="C26" s="1">
        <f>YEAR(Data[[#This Row],[Date]])</f>
        <v>2019</v>
      </c>
      <c r="D26" s="5">
        <v>43747</v>
      </c>
      <c r="E26" s="1" t="s">
        <v>111</v>
      </c>
      <c r="F26" s="1">
        <v>28469</v>
      </c>
      <c r="G26" s="1" t="s">
        <v>22</v>
      </c>
      <c r="H26" s="1" t="s">
        <v>112</v>
      </c>
      <c r="I26" s="1" t="s">
        <v>1</v>
      </c>
      <c r="J26" s="1">
        <v>5</v>
      </c>
      <c r="K26" s="1">
        <f>J26*(IF(I26=ProdFam[[#Headers],[Test]],(VLOOKUP(Data[[#This Row],[Product Family]],ProdFam[],3,FALSE)),(VLOOKUP(Data[[#This Row],[Product Family]],ProdFam[],2,FALSE))))</f>
        <v>50</v>
      </c>
      <c r="L26" s="1">
        <v>50</v>
      </c>
      <c r="M26" s="1">
        <v>5</v>
      </c>
      <c r="N26" s="7">
        <f>IFERROR(Data[[#This Row],[Actual Time]]/Data[[#This Row],[QTY Complete]],"")</f>
        <v>10</v>
      </c>
      <c r="O26" s="7">
        <f>IF(I26=ProdFam[[#Headers],[Test]],(VLOOKUP(Data[[#This Row],[Product Family]],ProdFam[],3,FALSE)),(VLOOKUP(Data[[#This Row],[Product Family]],ProdFam[],2,FALSE)))</f>
        <v>10</v>
      </c>
    </row>
    <row r="27" spans="2:16" x14ac:dyDescent="0.25">
      <c r="B27" s="1">
        <f>WEEKNUM(Data[[#This Row],[Date]],1)</f>
        <v>41</v>
      </c>
      <c r="C27" s="1">
        <f>YEAR(Data[[#This Row],[Date]])</f>
        <v>2019</v>
      </c>
      <c r="D27" s="5">
        <v>43747</v>
      </c>
      <c r="E27" s="1" t="s">
        <v>111</v>
      </c>
      <c r="F27" s="1">
        <v>28401</v>
      </c>
      <c r="G27" s="1" t="s">
        <v>8</v>
      </c>
      <c r="H27" s="1" t="s">
        <v>112</v>
      </c>
      <c r="I27" s="1" t="s">
        <v>1</v>
      </c>
      <c r="J27" s="1">
        <v>21</v>
      </c>
      <c r="K27" s="1">
        <f>J27*(IF(I27=ProdFam[[#Headers],[Test]],(VLOOKUP(Data[[#This Row],[Product Family]],ProdFam[],3,FALSE)),(VLOOKUP(Data[[#This Row],[Product Family]],ProdFam[],2,FALSE))))</f>
        <v>210</v>
      </c>
      <c r="L27" s="1">
        <v>120</v>
      </c>
      <c r="M27" s="1">
        <v>21</v>
      </c>
      <c r="N27" s="7">
        <f>IFERROR(Data[[#This Row],[Actual Time]]/Data[[#This Row],[QTY Complete]],"")</f>
        <v>5.7142857142857144</v>
      </c>
      <c r="O27" s="7">
        <f>IF(I27=ProdFam[[#Headers],[Test]],(VLOOKUP(Data[[#This Row],[Product Family]],ProdFam[],3,FALSE)),(VLOOKUP(Data[[#This Row],[Product Family]],ProdFam[],2,FALSE)))</f>
        <v>10</v>
      </c>
    </row>
    <row r="28" spans="2:16" x14ac:dyDescent="0.25">
      <c r="B28" s="1">
        <f>WEEKNUM(Data[[#This Row],[Date]],1)</f>
        <v>41</v>
      </c>
      <c r="C28" s="1">
        <f>YEAR(Data[[#This Row],[Date]])</f>
        <v>2019</v>
      </c>
      <c r="D28" s="5">
        <v>43747</v>
      </c>
      <c r="E28" s="1" t="s">
        <v>111</v>
      </c>
      <c r="F28" s="1">
        <v>28476</v>
      </c>
      <c r="G28" s="1" t="s">
        <v>2</v>
      </c>
      <c r="H28" s="1" t="s">
        <v>112</v>
      </c>
      <c r="I28" s="1" t="s">
        <v>1</v>
      </c>
      <c r="J28" s="1">
        <v>9</v>
      </c>
      <c r="K28" s="1">
        <f>J28*(IF(I28=ProdFam[[#Headers],[Test]],(VLOOKUP(Data[[#This Row],[Product Family]],ProdFam[],3,FALSE)),(VLOOKUP(Data[[#This Row],[Product Family]],ProdFam[],2,FALSE))))</f>
        <v>90</v>
      </c>
      <c r="L28" s="1">
        <v>120</v>
      </c>
      <c r="M28" s="1">
        <v>9</v>
      </c>
      <c r="N28" s="7">
        <f>IFERROR(Data[[#This Row],[Actual Time]]/Data[[#This Row],[QTY Complete]],"")</f>
        <v>13.333333333333334</v>
      </c>
      <c r="O28" s="7">
        <f>IF(I28=ProdFam[[#Headers],[Test]],(VLOOKUP(Data[[#This Row],[Product Family]],ProdFam[],3,FALSE)),(VLOOKUP(Data[[#This Row],[Product Family]],ProdFam[],2,FALSE)))</f>
        <v>10</v>
      </c>
      <c r="P28" s="1" t="s">
        <v>124</v>
      </c>
    </row>
    <row r="29" spans="2:16" x14ac:dyDescent="0.25">
      <c r="B29" s="1">
        <f>WEEKNUM(Data[[#This Row],[Date]],1)</f>
        <v>41</v>
      </c>
      <c r="C29" s="1">
        <f>YEAR(Data[[#This Row],[Date]])</f>
        <v>2019</v>
      </c>
      <c r="D29" s="5">
        <v>43748</v>
      </c>
      <c r="E29" s="1" t="s">
        <v>118</v>
      </c>
      <c r="F29" s="1">
        <v>28508</v>
      </c>
      <c r="G29" s="1" t="s">
        <v>16</v>
      </c>
      <c r="H29" s="1" t="s">
        <v>113</v>
      </c>
      <c r="I29" s="1" t="s">
        <v>0</v>
      </c>
      <c r="J29" s="1">
        <v>8</v>
      </c>
      <c r="K29" s="1">
        <f>J29*(IF(I29=ProdFam[[#Headers],[Test]],(VLOOKUP(Data[[#This Row],[Product Family]],ProdFam[],3,FALSE)),(VLOOKUP(Data[[#This Row],[Product Family]],ProdFam[],2,FALSE))))</f>
        <v>376</v>
      </c>
      <c r="L29" s="1">
        <v>135</v>
      </c>
      <c r="M29" s="1">
        <v>8</v>
      </c>
      <c r="N29" s="7">
        <f>IFERROR(Data[[#This Row],[Actual Time]]/Data[[#This Row],[QTY Complete]],"")</f>
        <v>16.875</v>
      </c>
      <c r="O29" s="7">
        <f>IF(I29=ProdFam[[#Headers],[Test]],(VLOOKUP(Data[[#This Row],[Product Family]],ProdFam[],3,FALSE)),(VLOOKUP(Data[[#This Row],[Product Family]],ProdFam[],2,FALSE)))</f>
        <v>47</v>
      </c>
    </row>
    <row r="30" spans="2:16" x14ac:dyDescent="0.25">
      <c r="B30" s="1">
        <f>WEEKNUM(Data[[#This Row],[Date]],1)</f>
        <v>41</v>
      </c>
      <c r="C30" s="1">
        <f>YEAR(Data[[#This Row],[Date]])</f>
        <v>2019</v>
      </c>
      <c r="D30" s="5">
        <v>43748</v>
      </c>
      <c r="E30" s="1" t="s">
        <v>118</v>
      </c>
      <c r="F30" s="1">
        <v>28520</v>
      </c>
      <c r="G30" s="1" t="s">
        <v>23</v>
      </c>
      <c r="H30" s="1" t="s">
        <v>125</v>
      </c>
      <c r="I30" s="1" t="s">
        <v>0</v>
      </c>
      <c r="J30" s="1">
        <v>4</v>
      </c>
      <c r="K30" s="1">
        <f>J30*(IF(I30=ProdFam[[#Headers],[Test]],(VLOOKUP(Data[[#This Row],[Product Family]],ProdFam[],3,FALSE)),(VLOOKUP(Data[[#This Row],[Product Family]],ProdFam[],2,FALSE))))</f>
        <v>48</v>
      </c>
      <c r="L30" s="1">
        <v>55</v>
      </c>
      <c r="M30" s="1">
        <v>4</v>
      </c>
      <c r="N30" s="7">
        <f>IFERROR(Data[[#This Row],[Actual Time]]/Data[[#This Row],[QTY Complete]],"")</f>
        <v>13.75</v>
      </c>
      <c r="O30" s="7">
        <f>IF(I30=ProdFam[[#Headers],[Test]],(VLOOKUP(Data[[#This Row],[Product Family]],ProdFam[],3,FALSE)),(VLOOKUP(Data[[#This Row],[Product Family]],ProdFam[],2,FALSE)))</f>
        <v>12</v>
      </c>
    </row>
    <row r="31" spans="2:16" x14ac:dyDescent="0.25">
      <c r="B31" s="1">
        <f>WEEKNUM(Data[[#This Row],[Date]],1)</f>
        <v>41</v>
      </c>
      <c r="C31" s="1">
        <f>YEAR(Data[[#This Row],[Date]])</f>
        <v>2019</v>
      </c>
      <c r="D31" s="5">
        <v>43748</v>
      </c>
      <c r="E31" s="1" t="s">
        <v>122</v>
      </c>
      <c r="F31" s="1">
        <v>28451</v>
      </c>
      <c r="G31" s="1" t="s">
        <v>21</v>
      </c>
      <c r="H31" s="1" t="s">
        <v>123</v>
      </c>
      <c r="I31" s="1" t="s">
        <v>0</v>
      </c>
      <c r="J31" s="1">
        <v>10</v>
      </c>
      <c r="K31" s="1">
        <f>J31*(IF(I31=ProdFam[[#Headers],[Test]],(VLOOKUP(Data[[#This Row],[Product Family]],ProdFam[],3,FALSE)),(VLOOKUP(Data[[#This Row],[Product Family]],ProdFam[],2,FALSE))))</f>
        <v>900</v>
      </c>
      <c r="L31" s="1">
        <v>210</v>
      </c>
      <c r="M31" s="1">
        <v>0</v>
      </c>
      <c r="N31" s="7" t="str">
        <f>IFERROR(Data[[#This Row],[Actual Time]]/Data[[#This Row],[QTY Complete]],"")</f>
        <v/>
      </c>
      <c r="O31" s="7">
        <f>IF(I31=ProdFam[[#Headers],[Test]],(VLOOKUP(Data[[#This Row],[Product Family]],ProdFam[],3,FALSE)),(VLOOKUP(Data[[#This Row],[Product Family]],ProdFam[],2,FALSE)))</f>
        <v>90</v>
      </c>
    </row>
    <row r="32" spans="2:16" x14ac:dyDescent="0.25">
      <c r="B32" s="1">
        <f>WEEKNUM(Data[[#This Row],[Date]],1)</f>
        <v>41</v>
      </c>
      <c r="C32" s="1">
        <f>YEAR(Data[[#This Row],[Date]])</f>
        <v>2019</v>
      </c>
      <c r="D32" s="5">
        <v>43748</v>
      </c>
      <c r="E32" s="1" t="s">
        <v>119</v>
      </c>
      <c r="F32" s="1">
        <v>28447</v>
      </c>
      <c r="G32" s="1" t="s">
        <v>19</v>
      </c>
      <c r="H32" s="1" t="s">
        <v>113</v>
      </c>
      <c r="I32" s="1" t="s">
        <v>1</v>
      </c>
      <c r="J32" s="1">
        <v>2</v>
      </c>
      <c r="K32" s="1">
        <f>J32*(IF(I32=ProdFam[[#Headers],[Test]],(VLOOKUP(Data[[#This Row],[Product Family]],ProdFam[],3,FALSE)),(VLOOKUP(Data[[#This Row],[Product Family]],ProdFam[],2,FALSE))))</f>
        <v>64</v>
      </c>
      <c r="L32" s="1">
        <v>30</v>
      </c>
      <c r="M32" s="1">
        <v>2</v>
      </c>
      <c r="N32" s="7">
        <f>IFERROR(Data[[#This Row],[Actual Time]]/Data[[#This Row],[QTY Complete]],"")</f>
        <v>15</v>
      </c>
      <c r="O32" s="7">
        <f>IF(I32=ProdFam[[#Headers],[Test]],(VLOOKUP(Data[[#This Row],[Product Family]],ProdFam[],3,FALSE)),(VLOOKUP(Data[[#This Row],[Product Family]],ProdFam[],2,FALSE)))</f>
        <v>32</v>
      </c>
    </row>
    <row r="33" spans="2:15" x14ac:dyDescent="0.25">
      <c r="B33" s="1">
        <f>WEEKNUM(Data[[#This Row],[Date]],1)</f>
        <v>41</v>
      </c>
      <c r="C33" s="1">
        <f>YEAR(Data[[#This Row],[Date]])</f>
        <v>2019</v>
      </c>
      <c r="D33" s="5">
        <v>43748</v>
      </c>
      <c r="E33" s="1" t="s">
        <v>119</v>
      </c>
      <c r="F33" s="1">
        <v>28470</v>
      </c>
      <c r="G33" s="1" t="s">
        <v>15</v>
      </c>
      <c r="H33" s="1" t="s">
        <v>113</v>
      </c>
      <c r="I33" s="1" t="s">
        <v>1</v>
      </c>
      <c r="J33" s="1">
        <v>8</v>
      </c>
      <c r="K33" s="1">
        <f>J33*(IF(I33=ProdFam[[#Headers],[Test]],(VLOOKUP(Data[[#This Row],[Product Family]],ProdFam[],3,FALSE)),(VLOOKUP(Data[[#This Row],[Product Family]],ProdFam[],2,FALSE))))</f>
        <v>256</v>
      </c>
      <c r="L33" s="1">
        <v>200</v>
      </c>
      <c r="M33" s="1">
        <v>8</v>
      </c>
      <c r="N33" s="7">
        <f>IFERROR(Data[[#This Row],[Actual Time]]/Data[[#This Row],[QTY Complete]],"")</f>
        <v>25</v>
      </c>
      <c r="O33" s="7">
        <f>IF(I33=ProdFam[[#Headers],[Test]],(VLOOKUP(Data[[#This Row],[Product Family]],ProdFam[],3,FALSE)),(VLOOKUP(Data[[#This Row],[Product Family]],ProdFam[],2,FALSE)))</f>
        <v>32</v>
      </c>
    </row>
    <row r="34" spans="2:15" x14ac:dyDescent="0.25">
      <c r="B34" s="1">
        <f>WEEKNUM(Data[[#This Row],[Date]],1)</f>
        <v>41</v>
      </c>
      <c r="C34" s="1">
        <f>YEAR(Data[[#This Row],[Date]])</f>
        <v>2019</v>
      </c>
      <c r="D34" s="5">
        <v>43748</v>
      </c>
      <c r="E34" s="1" t="s">
        <v>114</v>
      </c>
      <c r="F34" s="1">
        <v>60712</v>
      </c>
      <c r="G34" s="1" t="s">
        <v>19</v>
      </c>
      <c r="H34" s="1" t="s">
        <v>162</v>
      </c>
      <c r="I34" s="1" t="s">
        <v>0</v>
      </c>
      <c r="J34" s="1">
        <v>1</v>
      </c>
      <c r="K34" s="1">
        <f>J34*(IF(I34=ProdFam[[#Headers],[Test]],(VLOOKUP(Data[[#This Row],[Product Family]],ProdFam[],3,FALSE)),(VLOOKUP(Data[[#This Row],[Product Family]],ProdFam[],2,FALSE))))</f>
        <v>10</v>
      </c>
      <c r="L34" s="1">
        <v>7</v>
      </c>
      <c r="M34" s="1">
        <v>0</v>
      </c>
      <c r="N34" s="7" t="str">
        <f>IFERROR(Data[[#This Row],[Actual Time]]/Data[[#This Row],[QTY Complete]],"")</f>
        <v/>
      </c>
      <c r="O34" s="7">
        <f>IF(I34=ProdFam[[#Headers],[Test]],(VLOOKUP(Data[[#This Row],[Product Family]],ProdFam[],3,FALSE)),(VLOOKUP(Data[[#This Row],[Product Family]],ProdFam[],2,FALSE)))</f>
        <v>10</v>
      </c>
    </row>
    <row r="35" spans="2:15" x14ac:dyDescent="0.25">
      <c r="B35" s="1">
        <f>WEEKNUM(Data[[#This Row],[Date]],1)</f>
        <v>41</v>
      </c>
      <c r="C35" s="1">
        <f>YEAR(Data[[#This Row],[Date]])</f>
        <v>2019</v>
      </c>
      <c r="D35" s="5">
        <v>43748</v>
      </c>
      <c r="E35" s="1" t="s">
        <v>114</v>
      </c>
      <c r="F35" s="1">
        <v>60678</v>
      </c>
      <c r="G35" s="1" t="s">
        <v>24</v>
      </c>
      <c r="H35" s="1" t="s">
        <v>162</v>
      </c>
      <c r="I35" s="1" t="s">
        <v>0</v>
      </c>
      <c r="J35" s="1">
        <v>2</v>
      </c>
      <c r="K35" s="1">
        <f>J35*(IF(I35=ProdFam[[#Headers],[Test]],(VLOOKUP(Data[[#This Row],[Product Family]],ProdFam[],3,FALSE)),(VLOOKUP(Data[[#This Row],[Product Family]],ProdFam[],2,FALSE))))</f>
        <v>20</v>
      </c>
      <c r="L35" s="1">
        <v>14</v>
      </c>
      <c r="M35" s="1">
        <v>0</v>
      </c>
      <c r="N35" s="7" t="str">
        <f>IFERROR(Data[[#This Row],[Actual Time]]/Data[[#This Row],[QTY Complete]],"")</f>
        <v/>
      </c>
      <c r="O35" s="7">
        <f>IF(I35=ProdFam[[#Headers],[Test]],(VLOOKUP(Data[[#This Row],[Product Family]],ProdFam[],3,FALSE)),(VLOOKUP(Data[[#This Row],[Product Family]],ProdFam[],2,FALSE)))</f>
        <v>10</v>
      </c>
    </row>
    <row r="36" spans="2:15" x14ac:dyDescent="0.25">
      <c r="B36" s="1">
        <f>WEEKNUM(Data[[#This Row],[Date]],1)</f>
        <v>41</v>
      </c>
      <c r="C36" s="1">
        <f>YEAR(Data[[#This Row],[Date]])</f>
        <v>2019</v>
      </c>
      <c r="D36" s="5">
        <v>43748</v>
      </c>
      <c r="E36" s="1" t="s">
        <v>114</v>
      </c>
      <c r="F36" s="1">
        <v>60676</v>
      </c>
      <c r="G36" s="1" t="s">
        <v>25</v>
      </c>
      <c r="H36" s="1" t="s">
        <v>162</v>
      </c>
      <c r="I36" s="1" t="s">
        <v>0</v>
      </c>
      <c r="J36" s="1">
        <v>2</v>
      </c>
      <c r="K36" s="1">
        <f>J36*(IF(I36=ProdFam[[#Headers],[Test]],(VLOOKUP(Data[[#This Row],[Product Family]],ProdFam[],3,FALSE)),(VLOOKUP(Data[[#This Row],[Product Family]],ProdFam[],2,FALSE))))</f>
        <v>20</v>
      </c>
      <c r="L36" s="1">
        <v>14</v>
      </c>
      <c r="M36" s="1">
        <v>0</v>
      </c>
      <c r="N36" s="7" t="str">
        <f>IFERROR(Data[[#This Row],[Actual Time]]/Data[[#This Row],[QTY Complete]],"")</f>
        <v/>
      </c>
      <c r="O36" s="7">
        <f>IF(I36=ProdFam[[#Headers],[Test]],(VLOOKUP(Data[[#This Row],[Product Family]],ProdFam[],3,FALSE)),(VLOOKUP(Data[[#This Row],[Product Family]],ProdFam[],2,FALSE)))</f>
        <v>10</v>
      </c>
    </row>
    <row r="37" spans="2:15" x14ac:dyDescent="0.25">
      <c r="B37" s="1">
        <f>WEEKNUM(Data[[#This Row],[Date]],1)</f>
        <v>41</v>
      </c>
      <c r="C37" s="1">
        <f>YEAR(Data[[#This Row],[Date]])</f>
        <v>2019</v>
      </c>
      <c r="D37" s="5">
        <v>43748</v>
      </c>
      <c r="E37" s="1" t="s">
        <v>114</v>
      </c>
      <c r="F37" s="1">
        <v>60677</v>
      </c>
      <c r="G37" s="1" t="s">
        <v>25</v>
      </c>
      <c r="H37" s="1" t="s">
        <v>162</v>
      </c>
      <c r="I37" s="1" t="s">
        <v>0</v>
      </c>
      <c r="J37" s="1">
        <v>1</v>
      </c>
      <c r="K37" s="1">
        <f>J37*(IF(I37=ProdFam[[#Headers],[Test]],(VLOOKUP(Data[[#This Row],[Product Family]],ProdFam[],3,FALSE)),(VLOOKUP(Data[[#This Row],[Product Family]],ProdFam[],2,FALSE))))</f>
        <v>10</v>
      </c>
      <c r="L37" s="1">
        <v>7</v>
      </c>
      <c r="M37" s="1">
        <v>0</v>
      </c>
      <c r="N37" s="7" t="str">
        <f>IFERROR(Data[[#This Row],[Actual Time]]/Data[[#This Row],[QTY Complete]],"")</f>
        <v/>
      </c>
      <c r="O37" s="7">
        <f>IF(I37=ProdFam[[#Headers],[Test]],(VLOOKUP(Data[[#This Row],[Product Family]],ProdFam[],3,FALSE)),(VLOOKUP(Data[[#This Row],[Product Family]],ProdFam[],2,FALSE)))</f>
        <v>10</v>
      </c>
    </row>
    <row r="38" spans="2:15" x14ac:dyDescent="0.25">
      <c r="B38" s="1">
        <f>WEEKNUM(Data[[#This Row],[Date]],1)</f>
        <v>41</v>
      </c>
      <c r="C38" s="1">
        <f>YEAR(Data[[#This Row],[Date]])</f>
        <v>2019</v>
      </c>
      <c r="D38" s="5">
        <v>43748</v>
      </c>
      <c r="E38" s="1" t="s">
        <v>114</v>
      </c>
      <c r="F38" s="1">
        <v>60361</v>
      </c>
      <c r="G38" s="1" t="s">
        <v>25</v>
      </c>
      <c r="H38" s="1" t="s">
        <v>162</v>
      </c>
      <c r="I38" s="1" t="s">
        <v>0</v>
      </c>
      <c r="J38" s="1">
        <v>1</v>
      </c>
      <c r="K38" s="1">
        <f>J38*(IF(I38=ProdFam[[#Headers],[Test]],(VLOOKUP(Data[[#This Row],[Product Family]],ProdFam[],3,FALSE)),(VLOOKUP(Data[[#This Row],[Product Family]],ProdFam[],2,FALSE))))</f>
        <v>10</v>
      </c>
      <c r="L38" s="1">
        <v>7</v>
      </c>
      <c r="M38" s="1">
        <v>0</v>
      </c>
      <c r="N38" s="7" t="str">
        <f>IFERROR(Data[[#This Row],[Actual Time]]/Data[[#This Row],[QTY Complete]],"")</f>
        <v/>
      </c>
      <c r="O38" s="7">
        <f>IF(I38=ProdFam[[#Headers],[Test]],(VLOOKUP(Data[[#This Row],[Product Family]],ProdFam[],3,FALSE)),(VLOOKUP(Data[[#This Row],[Product Family]],ProdFam[],2,FALSE)))</f>
        <v>10</v>
      </c>
    </row>
    <row r="39" spans="2:15" x14ac:dyDescent="0.25">
      <c r="B39" s="1">
        <f>WEEKNUM(Data[[#This Row],[Date]],1)</f>
        <v>41</v>
      </c>
      <c r="C39" s="1">
        <f>YEAR(Data[[#This Row],[Date]])</f>
        <v>2019</v>
      </c>
      <c r="D39" s="5">
        <v>43748</v>
      </c>
      <c r="E39" s="1" t="s">
        <v>114</v>
      </c>
      <c r="F39" s="1">
        <v>60671</v>
      </c>
      <c r="G39" s="1" t="s">
        <v>25</v>
      </c>
      <c r="H39" s="1" t="s">
        <v>162</v>
      </c>
      <c r="I39" s="1" t="s">
        <v>0</v>
      </c>
      <c r="J39" s="1">
        <v>2</v>
      </c>
      <c r="K39" s="1">
        <f>J39*(IF(I39=ProdFam[[#Headers],[Test]],(VLOOKUP(Data[[#This Row],[Product Family]],ProdFam[],3,FALSE)),(VLOOKUP(Data[[#This Row],[Product Family]],ProdFam[],2,FALSE))))</f>
        <v>20</v>
      </c>
      <c r="L39" s="1">
        <v>14</v>
      </c>
      <c r="M39" s="1">
        <v>0</v>
      </c>
      <c r="N39" s="7" t="str">
        <f>IFERROR(Data[[#This Row],[Actual Time]]/Data[[#This Row],[QTY Complete]],"")</f>
        <v/>
      </c>
      <c r="O39" s="7">
        <f>IF(I39=ProdFam[[#Headers],[Test]],(VLOOKUP(Data[[#This Row],[Product Family]],ProdFam[],3,FALSE)),(VLOOKUP(Data[[#This Row],[Product Family]],ProdFam[],2,FALSE)))</f>
        <v>10</v>
      </c>
    </row>
    <row r="40" spans="2:15" x14ac:dyDescent="0.25">
      <c r="B40" s="1">
        <f>WEEKNUM(Data[[#This Row],[Date]],1)</f>
        <v>41</v>
      </c>
      <c r="C40" s="1">
        <f>YEAR(Data[[#This Row],[Date]])</f>
        <v>2019</v>
      </c>
      <c r="D40" s="5">
        <v>43748</v>
      </c>
      <c r="E40" s="1" t="s">
        <v>114</v>
      </c>
      <c r="F40" s="1">
        <v>60094</v>
      </c>
      <c r="G40" s="1" t="s">
        <v>26</v>
      </c>
      <c r="H40" s="1" t="s">
        <v>162</v>
      </c>
      <c r="I40" s="1" t="s">
        <v>0</v>
      </c>
      <c r="J40" s="1">
        <v>1</v>
      </c>
      <c r="K40" s="1">
        <f>J40*(IF(I40=ProdFam[[#Headers],[Test]],(VLOOKUP(Data[[#This Row],[Product Family]],ProdFam[],3,FALSE)),(VLOOKUP(Data[[#This Row],[Product Family]],ProdFam[],2,FALSE))))</f>
        <v>10</v>
      </c>
      <c r="L40" s="1">
        <v>7</v>
      </c>
      <c r="M40" s="1">
        <v>0</v>
      </c>
      <c r="N40" s="7" t="str">
        <f>IFERROR(Data[[#This Row],[Actual Time]]/Data[[#This Row],[QTY Complete]],"")</f>
        <v/>
      </c>
      <c r="O40" s="7">
        <f>IF(I40=ProdFam[[#Headers],[Test]],(VLOOKUP(Data[[#This Row],[Product Family]],ProdFam[],3,FALSE)),(VLOOKUP(Data[[#This Row],[Product Family]],ProdFam[],2,FALSE)))</f>
        <v>10</v>
      </c>
    </row>
    <row r="41" spans="2:15" x14ac:dyDescent="0.25">
      <c r="B41" s="1">
        <f>WEEKNUM(Data[[#This Row],[Date]],1)</f>
        <v>41</v>
      </c>
      <c r="C41" s="1">
        <f>YEAR(Data[[#This Row],[Date]])</f>
        <v>2019</v>
      </c>
      <c r="D41" s="5">
        <v>43748</v>
      </c>
      <c r="E41" s="1" t="s">
        <v>114</v>
      </c>
      <c r="F41" s="1">
        <v>60639</v>
      </c>
      <c r="G41" s="1" t="s">
        <v>17</v>
      </c>
      <c r="H41" s="1" t="s">
        <v>162</v>
      </c>
      <c r="I41" s="1" t="s">
        <v>0</v>
      </c>
      <c r="J41" s="1">
        <v>3</v>
      </c>
      <c r="K41" s="1">
        <f>J41*(IF(I41=ProdFam[[#Headers],[Test]],(VLOOKUP(Data[[#This Row],[Product Family]],ProdFam[],3,FALSE)),(VLOOKUP(Data[[#This Row],[Product Family]],ProdFam[],2,FALSE))))</f>
        <v>30</v>
      </c>
      <c r="L41" s="1">
        <v>21</v>
      </c>
      <c r="M41" s="1">
        <v>0</v>
      </c>
      <c r="N41" s="7" t="str">
        <f>IFERROR(Data[[#This Row],[Actual Time]]/Data[[#This Row],[QTY Complete]],"")</f>
        <v/>
      </c>
      <c r="O41" s="7">
        <f>IF(I41=ProdFam[[#Headers],[Test]],(VLOOKUP(Data[[#This Row],[Product Family]],ProdFam[],3,FALSE)),(VLOOKUP(Data[[#This Row],[Product Family]],ProdFam[],2,FALSE)))</f>
        <v>10</v>
      </c>
    </row>
    <row r="42" spans="2:15" x14ac:dyDescent="0.25">
      <c r="B42" s="1">
        <f>WEEKNUM(Data[[#This Row],[Date]],1)</f>
        <v>41</v>
      </c>
      <c r="C42" s="1">
        <f>YEAR(Data[[#This Row],[Date]])</f>
        <v>2019</v>
      </c>
      <c r="D42" s="5">
        <v>43748</v>
      </c>
      <c r="E42" s="1" t="s">
        <v>114</v>
      </c>
      <c r="F42" s="1">
        <v>28516</v>
      </c>
      <c r="G42" s="1" t="s">
        <v>12</v>
      </c>
      <c r="H42" s="1" t="s">
        <v>116</v>
      </c>
      <c r="I42" s="1" t="s">
        <v>0</v>
      </c>
      <c r="J42" s="1">
        <v>10</v>
      </c>
      <c r="K42" s="1">
        <f>J42*(IF(I42=ProdFam[[#Headers],[Test]],(VLOOKUP(Data[[#This Row],[Product Family]],ProdFam[],3,FALSE)),(VLOOKUP(Data[[#This Row],[Product Family]],ProdFam[],2,FALSE))))</f>
        <v>50</v>
      </c>
      <c r="L42" s="1">
        <v>90</v>
      </c>
      <c r="M42" s="1">
        <v>10</v>
      </c>
      <c r="N42" s="7">
        <f>IFERROR(Data[[#This Row],[Actual Time]]/Data[[#This Row],[QTY Complete]],"")</f>
        <v>9</v>
      </c>
      <c r="O42" s="7">
        <f>IF(I42=ProdFam[[#Headers],[Test]],(VLOOKUP(Data[[#This Row],[Product Family]],ProdFam[],3,FALSE)),(VLOOKUP(Data[[#This Row],[Product Family]],ProdFam[],2,FALSE)))</f>
        <v>5</v>
      </c>
    </row>
    <row r="43" spans="2:15" x14ac:dyDescent="0.25">
      <c r="B43" s="1">
        <f>WEEKNUM(Data[[#This Row],[Date]],1)</f>
        <v>41</v>
      </c>
      <c r="C43" s="1">
        <f>YEAR(Data[[#This Row],[Date]])</f>
        <v>2019</v>
      </c>
      <c r="D43" s="5">
        <v>43749</v>
      </c>
      <c r="E43" s="1" t="s">
        <v>114</v>
      </c>
      <c r="F43" s="1">
        <v>60640</v>
      </c>
      <c r="G43" s="1" t="s">
        <v>27</v>
      </c>
      <c r="H43" s="1" t="s">
        <v>162</v>
      </c>
      <c r="I43" s="1" t="s">
        <v>0</v>
      </c>
      <c r="J43" s="1">
        <v>1</v>
      </c>
      <c r="K43" s="1">
        <f>J43*(IF(I43=ProdFam[[#Headers],[Test]],(VLOOKUP(Data[[#This Row],[Product Family]],ProdFam[],3,FALSE)),(VLOOKUP(Data[[#This Row],[Product Family]],ProdFam[],2,FALSE))))</f>
        <v>10</v>
      </c>
      <c r="L43" s="1">
        <v>8</v>
      </c>
      <c r="M43" s="1">
        <v>0</v>
      </c>
      <c r="N43" s="7" t="str">
        <f>IFERROR(Data[[#This Row],[Actual Time]]/Data[[#This Row],[QTY Complete]],"")</f>
        <v/>
      </c>
      <c r="O43" s="7">
        <f>IF(I43=ProdFam[[#Headers],[Test]],(VLOOKUP(Data[[#This Row],[Product Family]],ProdFam[],3,FALSE)),(VLOOKUP(Data[[#This Row],[Product Family]],ProdFam[],2,FALSE)))</f>
        <v>10</v>
      </c>
    </row>
    <row r="44" spans="2:15" x14ac:dyDescent="0.25">
      <c r="B44" s="1">
        <f>WEEKNUM(Data[[#This Row],[Date]],1)</f>
        <v>41</v>
      </c>
      <c r="C44" s="1">
        <f>YEAR(Data[[#This Row],[Date]])</f>
        <v>2019</v>
      </c>
      <c r="D44" s="5">
        <v>43749</v>
      </c>
      <c r="E44" s="1" t="s">
        <v>114</v>
      </c>
      <c r="F44" s="1">
        <v>60741</v>
      </c>
      <c r="G44" s="1" t="s">
        <v>28</v>
      </c>
      <c r="H44" s="1" t="s">
        <v>162</v>
      </c>
      <c r="I44" s="1" t="s">
        <v>0</v>
      </c>
      <c r="J44" s="1">
        <v>1</v>
      </c>
      <c r="K44" s="1">
        <f>J44*(IF(I44=ProdFam[[#Headers],[Test]],(VLOOKUP(Data[[#This Row],[Product Family]],ProdFam[],3,FALSE)),(VLOOKUP(Data[[#This Row],[Product Family]],ProdFam[],2,FALSE))))</f>
        <v>10</v>
      </c>
      <c r="L44" s="1">
        <v>8</v>
      </c>
      <c r="M44" s="1">
        <v>0</v>
      </c>
      <c r="N44" s="7" t="str">
        <f>IFERROR(Data[[#This Row],[Actual Time]]/Data[[#This Row],[QTY Complete]],"")</f>
        <v/>
      </c>
      <c r="O44" s="7">
        <f>IF(I44=ProdFam[[#Headers],[Test]],(VLOOKUP(Data[[#This Row],[Product Family]],ProdFam[],3,FALSE)),(VLOOKUP(Data[[#This Row],[Product Family]],ProdFam[],2,FALSE)))</f>
        <v>10</v>
      </c>
    </row>
    <row r="45" spans="2:15" x14ac:dyDescent="0.25">
      <c r="B45" s="1">
        <f>WEEKNUM(Data[[#This Row],[Date]],1)</f>
        <v>41</v>
      </c>
      <c r="C45" s="1">
        <f>YEAR(Data[[#This Row],[Date]])</f>
        <v>2019</v>
      </c>
      <c r="D45" s="5">
        <v>43749</v>
      </c>
      <c r="E45" s="1" t="s">
        <v>114</v>
      </c>
      <c r="F45" s="1">
        <v>59497</v>
      </c>
      <c r="G45" s="1" t="s">
        <v>29</v>
      </c>
      <c r="H45" s="1" t="s">
        <v>162</v>
      </c>
      <c r="I45" s="1" t="s">
        <v>0</v>
      </c>
      <c r="J45" s="1">
        <v>2</v>
      </c>
      <c r="K45" s="1">
        <f>J45*(IF(I45=ProdFam[[#Headers],[Test]],(VLOOKUP(Data[[#This Row],[Product Family]],ProdFam[],3,FALSE)),(VLOOKUP(Data[[#This Row],[Product Family]],ProdFam[],2,FALSE))))</f>
        <v>20</v>
      </c>
      <c r="L45" s="1">
        <v>16</v>
      </c>
      <c r="M45" s="1">
        <v>0</v>
      </c>
      <c r="N45" s="7" t="str">
        <f>IFERROR(Data[[#This Row],[Actual Time]]/Data[[#This Row],[QTY Complete]],"")</f>
        <v/>
      </c>
      <c r="O45" s="7">
        <f>IF(I45=ProdFam[[#Headers],[Test]],(VLOOKUP(Data[[#This Row],[Product Family]],ProdFam[],3,FALSE)),(VLOOKUP(Data[[#This Row],[Product Family]],ProdFam[],2,FALSE)))</f>
        <v>10</v>
      </c>
    </row>
    <row r="46" spans="2:15" x14ac:dyDescent="0.25">
      <c r="B46" s="1">
        <f>WEEKNUM(Data[[#This Row],[Date]],1)</f>
        <v>41</v>
      </c>
      <c r="C46" s="1">
        <f>YEAR(Data[[#This Row],[Date]])</f>
        <v>2019</v>
      </c>
      <c r="D46" s="5">
        <v>43749</v>
      </c>
      <c r="E46" s="1" t="s">
        <v>114</v>
      </c>
      <c r="F46" s="1">
        <v>60772</v>
      </c>
      <c r="G46" s="1" t="s">
        <v>28</v>
      </c>
      <c r="H46" s="1" t="s">
        <v>162</v>
      </c>
      <c r="I46" s="1" t="s">
        <v>0</v>
      </c>
      <c r="J46" s="1">
        <v>1</v>
      </c>
      <c r="K46" s="1">
        <f>J46*(IF(I46=ProdFam[[#Headers],[Test]],(VLOOKUP(Data[[#This Row],[Product Family]],ProdFam[],3,FALSE)),(VLOOKUP(Data[[#This Row],[Product Family]],ProdFam[],2,FALSE))))</f>
        <v>10</v>
      </c>
      <c r="L46" s="1">
        <v>8</v>
      </c>
      <c r="M46" s="1">
        <v>0</v>
      </c>
      <c r="N46" s="7" t="str">
        <f>IFERROR(Data[[#This Row],[Actual Time]]/Data[[#This Row],[QTY Complete]],"")</f>
        <v/>
      </c>
      <c r="O46" s="7">
        <f>IF(I46=ProdFam[[#Headers],[Test]],(VLOOKUP(Data[[#This Row],[Product Family]],ProdFam[],3,FALSE)),(VLOOKUP(Data[[#This Row],[Product Family]],ProdFam[],2,FALSE)))</f>
        <v>10</v>
      </c>
    </row>
    <row r="47" spans="2:15" x14ac:dyDescent="0.25">
      <c r="B47" s="1">
        <f>WEEKNUM(Data[[#This Row],[Date]],1)</f>
        <v>41</v>
      </c>
      <c r="C47" s="1">
        <f>YEAR(Data[[#This Row],[Date]])</f>
        <v>2019</v>
      </c>
      <c r="D47" s="5">
        <v>43749</v>
      </c>
      <c r="E47" s="1" t="s">
        <v>114</v>
      </c>
      <c r="F47" s="1">
        <v>60736</v>
      </c>
      <c r="G47" s="1" t="s">
        <v>28</v>
      </c>
      <c r="H47" s="1" t="s">
        <v>162</v>
      </c>
      <c r="I47" s="1" t="s">
        <v>0</v>
      </c>
      <c r="J47" s="1">
        <v>1</v>
      </c>
      <c r="K47" s="1">
        <f>J47*(IF(I47=ProdFam[[#Headers],[Test]],(VLOOKUP(Data[[#This Row],[Product Family]],ProdFam[],3,FALSE)),(VLOOKUP(Data[[#This Row],[Product Family]],ProdFam[],2,FALSE))))</f>
        <v>10</v>
      </c>
      <c r="L47" s="1">
        <v>8</v>
      </c>
      <c r="M47" s="1">
        <v>0</v>
      </c>
      <c r="N47" s="7" t="str">
        <f>IFERROR(Data[[#This Row],[Actual Time]]/Data[[#This Row],[QTY Complete]],"")</f>
        <v/>
      </c>
      <c r="O47" s="7">
        <f>IF(I47=ProdFam[[#Headers],[Test]],(VLOOKUP(Data[[#This Row],[Product Family]],ProdFam[],3,FALSE)),(VLOOKUP(Data[[#This Row],[Product Family]],ProdFam[],2,FALSE)))</f>
        <v>10</v>
      </c>
    </row>
    <row r="48" spans="2:15" x14ac:dyDescent="0.25">
      <c r="B48" s="1">
        <f>WEEKNUM(Data[[#This Row],[Date]],1)</f>
        <v>41</v>
      </c>
      <c r="C48" s="1">
        <f>YEAR(Data[[#This Row],[Date]])</f>
        <v>2019</v>
      </c>
      <c r="D48" s="5">
        <v>43749</v>
      </c>
      <c r="E48" s="1" t="s">
        <v>114</v>
      </c>
      <c r="F48" s="1">
        <v>28540</v>
      </c>
      <c r="G48" s="1" t="s">
        <v>30</v>
      </c>
      <c r="H48" s="1" t="s">
        <v>113</v>
      </c>
      <c r="I48" s="1" t="s">
        <v>0</v>
      </c>
      <c r="J48" s="1">
        <v>2</v>
      </c>
      <c r="K48" s="1">
        <f>J48*(IF(I48=ProdFam[[#Headers],[Test]],(VLOOKUP(Data[[#This Row],[Product Family]],ProdFam[],3,FALSE)),(VLOOKUP(Data[[#This Row],[Product Family]],ProdFam[],2,FALSE))))</f>
        <v>94</v>
      </c>
      <c r="L48" s="1">
        <v>20</v>
      </c>
      <c r="M48" s="1">
        <v>0</v>
      </c>
      <c r="N48" s="7" t="str">
        <f>IFERROR(Data[[#This Row],[Actual Time]]/Data[[#This Row],[QTY Complete]],"")</f>
        <v/>
      </c>
      <c r="O48" s="7">
        <f>IF(I48=ProdFam[[#Headers],[Test]],(VLOOKUP(Data[[#This Row],[Product Family]],ProdFam[],3,FALSE)),(VLOOKUP(Data[[#This Row],[Product Family]],ProdFam[],2,FALSE)))</f>
        <v>47</v>
      </c>
    </row>
    <row r="49" spans="2:16" x14ac:dyDescent="0.25">
      <c r="B49" s="1">
        <f>WEEKNUM(Data[[#This Row],[Date]],1)</f>
        <v>41</v>
      </c>
      <c r="C49" s="1">
        <f>YEAR(Data[[#This Row],[Date]])</f>
        <v>2019</v>
      </c>
      <c r="D49" s="5">
        <v>43749</v>
      </c>
      <c r="E49" s="1" t="s">
        <v>114</v>
      </c>
      <c r="F49" s="1">
        <v>60740</v>
      </c>
      <c r="G49" s="1" t="s">
        <v>25</v>
      </c>
      <c r="H49" s="1" t="s">
        <v>162</v>
      </c>
      <c r="I49" s="1" t="s">
        <v>0</v>
      </c>
      <c r="J49" s="1">
        <v>2</v>
      </c>
      <c r="K49" s="1">
        <f>J49*(IF(I49=ProdFam[[#Headers],[Test]],(VLOOKUP(Data[[#This Row],[Product Family]],ProdFam[],3,FALSE)),(VLOOKUP(Data[[#This Row],[Product Family]],ProdFam[],2,FALSE))))</f>
        <v>20</v>
      </c>
      <c r="L49" s="1">
        <v>16</v>
      </c>
      <c r="M49" s="1">
        <v>0</v>
      </c>
      <c r="N49" s="7" t="str">
        <f>IFERROR(Data[[#This Row],[Actual Time]]/Data[[#This Row],[QTY Complete]],"")</f>
        <v/>
      </c>
      <c r="O49" s="7">
        <f>IF(I49=ProdFam[[#Headers],[Test]],(VLOOKUP(Data[[#This Row],[Product Family]],ProdFam[],3,FALSE)),(VLOOKUP(Data[[#This Row],[Product Family]],ProdFam[],2,FALSE)))</f>
        <v>10</v>
      </c>
    </row>
    <row r="50" spans="2:16" x14ac:dyDescent="0.25">
      <c r="B50" s="1">
        <f>WEEKNUM(Data[[#This Row],[Date]],1)</f>
        <v>41</v>
      </c>
      <c r="C50" s="1">
        <f>YEAR(Data[[#This Row],[Date]])</f>
        <v>2019</v>
      </c>
      <c r="D50" s="5">
        <v>43749</v>
      </c>
      <c r="E50" s="1" t="s">
        <v>114</v>
      </c>
      <c r="F50" s="1">
        <v>60745</v>
      </c>
      <c r="G50" s="1" t="s">
        <v>11</v>
      </c>
      <c r="H50" s="1" t="s">
        <v>162</v>
      </c>
      <c r="I50" s="1" t="s">
        <v>0</v>
      </c>
      <c r="J50" s="1">
        <v>2</v>
      </c>
      <c r="K50" s="1">
        <f>J50*(IF(I50=ProdFam[[#Headers],[Test]],(VLOOKUP(Data[[#This Row],[Product Family]],ProdFam[],3,FALSE)),(VLOOKUP(Data[[#This Row],[Product Family]],ProdFam[],2,FALSE))))</f>
        <v>20</v>
      </c>
      <c r="L50" s="1">
        <v>16</v>
      </c>
      <c r="M50" s="1">
        <v>0</v>
      </c>
      <c r="N50" s="7" t="str">
        <f>IFERROR(Data[[#This Row],[Actual Time]]/Data[[#This Row],[QTY Complete]],"")</f>
        <v/>
      </c>
      <c r="O50" s="7">
        <f>IF(I50=ProdFam[[#Headers],[Test]],(VLOOKUP(Data[[#This Row],[Product Family]],ProdFam[],3,FALSE)),(VLOOKUP(Data[[#This Row],[Product Family]],ProdFam[],2,FALSE)))</f>
        <v>10</v>
      </c>
    </row>
    <row r="51" spans="2:16" x14ac:dyDescent="0.25">
      <c r="B51" s="1">
        <f>WEEKNUM(Data[[#This Row],[Date]],1)</f>
        <v>41</v>
      </c>
      <c r="C51" s="1">
        <f>YEAR(Data[[#This Row],[Date]])</f>
        <v>2019</v>
      </c>
      <c r="D51" s="5">
        <v>43749</v>
      </c>
      <c r="E51" s="1" t="s">
        <v>114</v>
      </c>
      <c r="F51" s="1">
        <v>60797</v>
      </c>
      <c r="G51" s="1" t="s">
        <v>26</v>
      </c>
      <c r="H51" s="1" t="s">
        <v>162</v>
      </c>
      <c r="I51" s="1" t="s">
        <v>0</v>
      </c>
      <c r="J51" s="1">
        <v>2</v>
      </c>
      <c r="K51" s="1">
        <f>J51*(IF(I51=ProdFam[[#Headers],[Test]],(VLOOKUP(Data[[#This Row],[Product Family]],ProdFam[],3,FALSE)),(VLOOKUP(Data[[#This Row],[Product Family]],ProdFam[],2,FALSE))))</f>
        <v>20</v>
      </c>
      <c r="L51" s="1">
        <v>16</v>
      </c>
      <c r="M51" s="1">
        <v>0</v>
      </c>
      <c r="N51" s="7" t="str">
        <f>IFERROR(Data[[#This Row],[Actual Time]]/Data[[#This Row],[QTY Complete]],"")</f>
        <v/>
      </c>
      <c r="O51" s="7">
        <f>IF(I51=ProdFam[[#Headers],[Test]],(VLOOKUP(Data[[#This Row],[Product Family]],ProdFam[],3,FALSE)),(VLOOKUP(Data[[#This Row],[Product Family]],ProdFam[],2,FALSE)))</f>
        <v>10</v>
      </c>
    </row>
    <row r="52" spans="2:16" x14ac:dyDescent="0.25">
      <c r="B52" s="1">
        <f>WEEKNUM(Data[[#This Row],[Date]],1)</f>
        <v>41</v>
      </c>
      <c r="C52" s="1">
        <f>YEAR(Data[[#This Row],[Date]])</f>
        <v>2019</v>
      </c>
      <c r="D52" s="5">
        <v>43749</v>
      </c>
      <c r="E52" s="1" t="s">
        <v>114</v>
      </c>
      <c r="F52" s="1">
        <v>59195</v>
      </c>
      <c r="G52" s="1" t="s">
        <v>28</v>
      </c>
      <c r="H52" s="1" t="s">
        <v>162</v>
      </c>
      <c r="I52" s="1" t="s">
        <v>0</v>
      </c>
      <c r="J52" s="1">
        <v>2</v>
      </c>
      <c r="K52" s="1">
        <f>J52*(IF(I52=ProdFam[[#Headers],[Test]],(VLOOKUP(Data[[#This Row],[Product Family]],ProdFam[],3,FALSE)),(VLOOKUP(Data[[#This Row],[Product Family]],ProdFam[],2,FALSE))))</f>
        <v>20</v>
      </c>
      <c r="L52" s="1">
        <v>16</v>
      </c>
      <c r="M52" s="1">
        <v>0</v>
      </c>
      <c r="N52" s="7" t="str">
        <f>IFERROR(Data[[#This Row],[Actual Time]]/Data[[#This Row],[QTY Complete]],"")</f>
        <v/>
      </c>
      <c r="O52" s="7">
        <f>IF(I52=ProdFam[[#Headers],[Test]],(VLOOKUP(Data[[#This Row],[Product Family]],ProdFam[],3,FALSE)),(VLOOKUP(Data[[#This Row],[Product Family]],ProdFam[],2,FALSE)))</f>
        <v>10</v>
      </c>
    </row>
    <row r="53" spans="2:16" x14ac:dyDescent="0.25">
      <c r="B53" s="1">
        <f>WEEKNUM(Data[[#This Row],[Date]],1)</f>
        <v>41</v>
      </c>
      <c r="C53" s="1">
        <f>YEAR(Data[[#This Row],[Date]])</f>
        <v>2019</v>
      </c>
      <c r="D53" s="5">
        <v>43749</v>
      </c>
      <c r="E53" s="1" t="s">
        <v>114</v>
      </c>
      <c r="F53" s="1">
        <v>60834</v>
      </c>
      <c r="G53" s="1" t="s">
        <v>31</v>
      </c>
      <c r="H53" s="1" t="s">
        <v>162</v>
      </c>
      <c r="I53" s="1" t="s">
        <v>0</v>
      </c>
      <c r="J53" s="1">
        <v>4</v>
      </c>
      <c r="K53" s="1">
        <f>J53*(IF(I53=ProdFam[[#Headers],[Test]],(VLOOKUP(Data[[#This Row],[Product Family]],ProdFam[],3,FALSE)),(VLOOKUP(Data[[#This Row],[Product Family]],ProdFam[],2,FALSE))))</f>
        <v>40</v>
      </c>
      <c r="L53" s="1">
        <v>33</v>
      </c>
      <c r="M53" s="1">
        <v>0</v>
      </c>
      <c r="N53" s="7" t="str">
        <f>IFERROR(Data[[#This Row],[Actual Time]]/Data[[#This Row],[QTY Complete]],"")</f>
        <v/>
      </c>
      <c r="O53" s="7">
        <f>IF(I53=ProdFam[[#Headers],[Test]],(VLOOKUP(Data[[#This Row],[Product Family]],ProdFam[],3,FALSE)),(VLOOKUP(Data[[#This Row],[Product Family]],ProdFam[],2,FALSE)))</f>
        <v>10</v>
      </c>
    </row>
    <row r="54" spans="2:16" x14ac:dyDescent="0.25">
      <c r="B54" s="1">
        <f>WEEKNUM(Data[[#This Row],[Date]],1)</f>
        <v>41</v>
      </c>
      <c r="C54" s="1">
        <f>YEAR(Data[[#This Row],[Date]])</f>
        <v>2019</v>
      </c>
      <c r="D54" s="5">
        <v>43749</v>
      </c>
      <c r="E54" s="1" t="s">
        <v>114</v>
      </c>
      <c r="F54" s="1">
        <v>28519</v>
      </c>
      <c r="G54" s="1" t="s">
        <v>32</v>
      </c>
      <c r="H54" s="1" t="s">
        <v>112</v>
      </c>
      <c r="I54" s="1" t="s">
        <v>0</v>
      </c>
      <c r="J54" s="1">
        <v>18</v>
      </c>
      <c r="K54" s="1">
        <f>J54*(IF(I54=ProdFam[[#Headers],[Test]],(VLOOKUP(Data[[#This Row],[Product Family]],ProdFam[],3,FALSE)),(VLOOKUP(Data[[#This Row],[Product Family]],ProdFam[],2,FALSE))))</f>
        <v>180</v>
      </c>
      <c r="L54" s="1">
        <v>60</v>
      </c>
      <c r="M54" s="1">
        <v>0</v>
      </c>
      <c r="N54" s="7" t="str">
        <f>IFERROR(Data[[#This Row],[Actual Time]]/Data[[#This Row],[QTY Complete]],"")</f>
        <v/>
      </c>
      <c r="O54" s="7">
        <f>IF(I54=ProdFam[[#Headers],[Test]],(VLOOKUP(Data[[#This Row],[Product Family]],ProdFam[],3,FALSE)),(VLOOKUP(Data[[#This Row],[Product Family]],ProdFam[],2,FALSE)))</f>
        <v>10</v>
      </c>
    </row>
    <row r="55" spans="2:16" x14ac:dyDescent="0.25">
      <c r="B55" s="1">
        <f>WEEKNUM(Data[[#This Row],[Date]],1)</f>
        <v>41</v>
      </c>
      <c r="C55" s="1">
        <f>YEAR(Data[[#This Row],[Date]])</f>
        <v>2019</v>
      </c>
      <c r="D55" s="5">
        <v>43749</v>
      </c>
      <c r="E55" s="1" t="s">
        <v>118</v>
      </c>
      <c r="F55" s="1">
        <v>28522</v>
      </c>
      <c r="G55" s="1" t="s">
        <v>17</v>
      </c>
      <c r="H55" s="1" t="s">
        <v>113</v>
      </c>
      <c r="I55" s="1" t="s">
        <v>0</v>
      </c>
      <c r="J55" s="1">
        <v>3</v>
      </c>
      <c r="K55" s="1">
        <f>J55*(IF(I55=ProdFam[[#Headers],[Test]],(VLOOKUP(Data[[#This Row],[Product Family]],ProdFam[],3,FALSE)),(VLOOKUP(Data[[#This Row],[Product Family]],ProdFam[],2,FALSE))))</f>
        <v>141</v>
      </c>
      <c r="L55" s="1">
        <v>165</v>
      </c>
      <c r="M55" s="1">
        <v>3</v>
      </c>
      <c r="N55" s="7">
        <f>IFERROR(Data[[#This Row],[Actual Time]]/Data[[#This Row],[QTY Complete]],"")</f>
        <v>55</v>
      </c>
      <c r="O55" s="7">
        <f>IF(I55=ProdFam[[#Headers],[Test]],(VLOOKUP(Data[[#This Row],[Product Family]],ProdFam[],3,FALSE)),(VLOOKUP(Data[[#This Row],[Product Family]],ProdFam[],2,FALSE)))</f>
        <v>47</v>
      </c>
    </row>
    <row r="56" spans="2:16" x14ac:dyDescent="0.25">
      <c r="B56" s="1">
        <f>WEEKNUM(Data[[#This Row],[Date]],1)</f>
        <v>41</v>
      </c>
      <c r="C56" s="1">
        <f>YEAR(Data[[#This Row],[Date]])</f>
        <v>2019</v>
      </c>
      <c r="D56" s="5">
        <v>43749</v>
      </c>
      <c r="E56" s="1" t="s">
        <v>118</v>
      </c>
      <c r="F56" s="1">
        <v>28481</v>
      </c>
      <c r="G56" s="1" t="s">
        <v>19</v>
      </c>
      <c r="H56" s="1" t="s">
        <v>113</v>
      </c>
      <c r="I56" s="1" t="s">
        <v>0</v>
      </c>
      <c r="J56" s="1">
        <v>3</v>
      </c>
      <c r="K56" s="1">
        <f>J56*(IF(I56=ProdFam[[#Headers],[Test]],(VLOOKUP(Data[[#This Row],[Product Family]],ProdFam[],3,FALSE)),(VLOOKUP(Data[[#This Row],[Product Family]],ProdFam[],2,FALSE))))</f>
        <v>141</v>
      </c>
      <c r="L56" s="1">
        <v>10</v>
      </c>
      <c r="M56" s="1">
        <v>0</v>
      </c>
      <c r="N56" s="7" t="str">
        <f>IFERROR(Data[[#This Row],[Actual Time]]/Data[[#This Row],[QTY Complete]],"")</f>
        <v/>
      </c>
      <c r="O56" s="7">
        <f>IF(I56=ProdFam[[#Headers],[Test]],(VLOOKUP(Data[[#This Row],[Product Family]],ProdFam[],3,FALSE)),(VLOOKUP(Data[[#This Row],[Product Family]],ProdFam[],2,FALSE)))</f>
        <v>47</v>
      </c>
    </row>
    <row r="57" spans="2:16" x14ac:dyDescent="0.25">
      <c r="B57" s="1">
        <f>WEEKNUM(Data[[#This Row],[Date]],1)</f>
        <v>41</v>
      </c>
      <c r="C57" s="1">
        <f>YEAR(Data[[#This Row],[Date]])</f>
        <v>2019</v>
      </c>
      <c r="D57" s="5">
        <v>43749</v>
      </c>
      <c r="E57" s="1" t="s">
        <v>122</v>
      </c>
      <c r="F57" s="1">
        <v>28451</v>
      </c>
      <c r="G57" s="1" t="s">
        <v>21</v>
      </c>
      <c r="H57" s="1" t="s">
        <v>123</v>
      </c>
      <c r="I57" s="1" t="s">
        <v>0</v>
      </c>
      <c r="J57" s="1">
        <v>10</v>
      </c>
      <c r="K57" s="1">
        <f>J57*(IF(I57=ProdFam[[#Headers],[Test]],(VLOOKUP(Data[[#This Row],[Product Family]],ProdFam[],3,FALSE)),(VLOOKUP(Data[[#This Row],[Product Family]],ProdFam[],2,FALSE))))</f>
        <v>900</v>
      </c>
      <c r="L57" s="1">
        <v>210</v>
      </c>
      <c r="M57" s="1">
        <v>0</v>
      </c>
      <c r="N57" s="7" t="str">
        <f>IFERROR(Data[[#This Row],[Actual Time]]/Data[[#This Row],[QTY Complete]],"")</f>
        <v/>
      </c>
      <c r="O57" s="7">
        <f>IF(I57=ProdFam[[#Headers],[Test]],(VLOOKUP(Data[[#This Row],[Product Family]],ProdFam[],3,FALSE)),(VLOOKUP(Data[[#This Row],[Product Family]],ProdFam[],2,FALSE)))</f>
        <v>90</v>
      </c>
    </row>
    <row r="58" spans="2:16" x14ac:dyDescent="0.25">
      <c r="B58" s="1">
        <f>WEEKNUM(Data[[#This Row],[Date]],1)</f>
        <v>41</v>
      </c>
      <c r="C58" s="1">
        <f>YEAR(Data[[#This Row],[Date]])</f>
        <v>2019</v>
      </c>
      <c r="D58" s="5">
        <v>43749</v>
      </c>
      <c r="E58" s="1" t="s">
        <v>117</v>
      </c>
      <c r="F58" s="1">
        <v>28398</v>
      </c>
      <c r="G58" s="1" t="s">
        <v>13</v>
      </c>
      <c r="H58" s="1" t="s">
        <v>113</v>
      </c>
      <c r="I58" s="1" t="s">
        <v>1</v>
      </c>
      <c r="J58" s="1">
        <v>1</v>
      </c>
      <c r="K58" s="1">
        <f>J58*(IF(I58=ProdFam[[#Headers],[Test]],(VLOOKUP(Data[[#This Row],[Product Family]],ProdFam[],3,FALSE)),(VLOOKUP(Data[[#This Row],[Product Family]],ProdFam[],2,FALSE))))</f>
        <v>32</v>
      </c>
      <c r="L58" s="1">
        <v>10</v>
      </c>
      <c r="M58" s="1">
        <v>1</v>
      </c>
      <c r="N58" s="7">
        <f>IFERROR(Data[[#This Row],[Actual Time]]/Data[[#This Row],[QTY Complete]],"")</f>
        <v>10</v>
      </c>
      <c r="O58" s="7">
        <f>IF(I58=ProdFam[[#Headers],[Test]],(VLOOKUP(Data[[#This Row],[Product Family]],ProdFam[],3,FALSE)),(VLOOKUP(Data[[#This Row],[Product Family]],ProdFam[],2,FALSE)))</f>
        <v>32</v>
      </c>
    </row>
    <row r="59" spans="2:16" x14ac:dyDescent="0.25">
      <c r="B59" s="1">
        <f>WEEKNUM(Data[[#This Row],[Date]],1)</f>
        <v>41</v>
      </c>
      <c r="C59" s="1">
        <f>YEAR(Data[[#This Row],[Date]])</f>
        <v>2019</v>
      </c>
      <c r="D59" s="5">
        <v>43749</v>
      </c>
      <c r="E59" s="1" t="s">
        <v>117</v>
      </c>
      <c r="F59" s="1">
        <v>28508</v>
      </c>
      <c r="G59" s="1" t="s">
        <v>16</v>
      </c>
      <c r="H59" s="1" t="s">
        <v>113</v>
      </c>
      <c r="I59" s="1" t="s">
        <v>1</v>
      </c>
      <c r="J59" s="1">
        <v>8</v>
      </c>
      <c r="K59" s="1">
        <f>J59*(IF(I59=ProdFam[[#Headers],[Test]],(VLOOKUP(Data[[#This Row],[Product Family]],ProdFam[],3,FALSE)),(VLOOKUP(Data[[#This Row],[Product Family]],ProdFam[],2,FALSE))))</f>
        <v>256</v>
      </c>
      <c r="L59" s="1">
        <v>110</v>
      </c>
      <c r="M59" s="1">
        <v>8</v>
      </c>
      <c r="N59" s="7">
        <f>IFERROR(Data[[#This Row],[Actual Time]]/Data[[#This Row],[QTY Complete]],"")</f>
        <v>13.75</v>
      </c>
      <c r="O59" s="7">
        <f>IF(I59=ProdFam[[#Headers],[Test]],(VLOOKUP(Data[[#This Row],[Product Family]],ProdFam[],3,FALSE)),(VLOOKUP(Data[[#This Row],[Product Family]],ProdFam[],2,FALSE)))</f>
        <v>32</v>
      </c>
    </row>
    <row r="60" spans="2:16" x14ac:dyDescent="0.25">
      <c r="B60" s="1">
        <f>WEEKNUM(Data[[#This Row],[Date]],1)</f>
        <v>41</v>
      </c>
      <c r="C60" s="1">
        <f>YEAR(Data[[#This Row],[Date]])</f>
        <v>2019</v>
      </c>
      <c r="D60" s="5">
        <v>43749</v>
      </c>
      <c r="E60" s="1" t="s">
        <v>117</v>
      </c>
      <c r="F60" s="1">
        <v>28522</v>
      </c>
      <c r="G60" s="1" t="s">
        <v>17</v>
      </c>
      <c r="H60" s="1" t="s">
        <v>113</v>
      </c>
      <c r="I60" s="1" t="s">
        <v>1</v>
      </c>
      <c r="J60" s="1">
        <v>3</v>
      </c>
      <c r="K60" s="1">
        <f>J60*(IF(I60=ProdFam[[#Headers],[Test]],(VLOOKUP(Data[[#This Row],[Product Family]],ProdFam[],3,FALSE)),(VLOOKUP(Data[[#This Row],[Product Family]],ProdFam[],2,FALSE))))</f>
        <v>96</v>
      </c>
      <c r="L60" s="1">
        <v>50</v>
      </c>
      <c r="M60" s="1">
        <v>3</v>
      </c>
      <c r="N60" s="7">
        <f>IFERROR(Data[[#This Row],[Actual Time]]/Data[[#This Row],[QTY Complete]],"")</f>
        <v>16.666666666666668</v>
      </c>
      <c r="O60" s="7">
        <f>IF(I60=ProdFam[[#Headers],[Test]],(VLOOKUP(Data[[#This Row],[Product Family]],ProdFam[],3,FALSE)),(VLOOKUP(Data[[#This Row],[Product Family]],ProdFam[],2,FALSE)))</f>
        <v>32</v>
      </c>
    </row>
    <row r="61" spans="2:16" x14ac:dyDescent="0.25">
      <c r="B61" s="1">
        <f>WEEKNUM(Data[[#This Row],[Date]],1)</f>
        <v>41</v>
      </c>
      <c r="C61" s="1">
        <f>YEAR(Data[[#This Row],[Date]])</f>
        <v>2019</v>
      </c>
      <c r="D61" s="5">
        <v>43749</v>
      </c>
      <c r="E61" s="1" t="s">
        <v>117</v>
      </c>
      <c r="F61" s="1">
        <v>28453</v>
      </c>
      <c r="G61" s="1" t="s">
        <v>5</v>
      </c>
      <c r="H61" s="1" t="s">
        <v>112</v>
      </c>
      <c r="I61" s="1" t="s">
        <v>1</v>
      </c>
      <c r="J61" s="1">
        <v>6</v>
      </c>
      <c r="K61" s="1">
        <f>J61*(IF(I61=ProdFam[[#Headers],[Test]],(VLOOKUP(Data[[#This Row],[Product Family]],ProdFam[],3,FALSE)),(VLOOKUP(Data[[#This Row],[Product Family]],ProdFam[],2,FALSE))))</f>
        <v>60</v>
      </c>
      <c r="L61" s="1">
        <v>15</v>
      </c>
      <c r="M61" s="1">
        <v>6</v>
      </c>
      <c r="N61" s="7">
        <f>IFERROR(Data[[#This Row],[Actual Time]]/Data[[#This Row],[QTY Complete]],"")</f>
        <v>2.5</v>
      </c>
      <c r="O61" s="7">
        <f>IF(I61=ProdFam[[#Headers],[Test]],(VLOOKUP(Data[[#This Row],[Product Family]],ProdFam[],3,FALSE)),(VLOOKUP(Data[[#This Row],[Product Family]],ProdFam[],2,FALSE)))</f>
        <v>10</v>
      </c>
    </row>
    <row r="62" spans="2:16" x14ac:dyDescent="0.25">
      <c r="B62" s="1">
        <f>WEEKNUM(Data[[#This Row],[Date]],1)</f>
        <v>42</v>
      </c>
      <c r="C62" s="1">
        <f>YEAR(Data[[#This Row],[Date]])</f>
        <v>2019</v>
      </c>
      <c r="D62" s="5">
        <v>43751</v>
      </c>
      <c r="E62" s="1" t="s">
        <v>111</v>
      </c>
      <c r="F62" s="1">
        <v>28450</v>
      </c>
      <c r="G62" s="1" t="s">
        <v>8</v>
      </c>
      <c r="H62" s="1" t="s">
        <v>112</v>
      </c>
      <c r="I62" s="1" t="s">
        <v>1</v>
      </c>
      <c r="J62" s="1">
        <v>21</v>
      </c>
      <c r="K62" s="1">
        <f>J62*(IF(I62=ProdFam[[#Headers],[Test]],(VLOOKUP(Data[[#This Row],[Product Family]],ProdFam[],3,FALSE)),(VLOOKUP(Data[[#This Row],[Product Family]],ProdFam[],2,FALSE))))</f>
        <v>210</v>
      </c>
      <c r="L62" s="1">
        <v>120</v>
      </c>
      <c r="M62" s="1">
        <v>21</v>
      </c>
      <c r="N62" s="7">
        <f>IFERROR(Data[[#This Row],[Actual Time]]/Data[[#This Row],[QTY Complete]],"")</f>
        <v>5.7142857142857144</v>
      </c>
      <c r="O62" s="7">
        <f>IF(I62=ProdFam[[#Headers],[Test]],(VLOOKUP(Data[[#This Row],[Product Family]],ProdFam[],3,FALSE)),(VLOOKUP(Data[[#This Row],[Product Family]],ProdFam[],2,FALSE)))</f>
        <v>10</v>
      </c>
      <c r="P62" s="1" t="s">
        <v>126</v>
      </c>
    </row>
    <row r="63" spans="2:16" x14ac:dyDescent="0.25">
      <c r="B63" s="1">
        <f>WEEKNUM(Data[[#This Row],[Date]],1)</f>
        <v>42</v>
      </c>
      <c r="C63" s="1">
        <f>YEAR(Data[[#This Row],[Date]])</f>
        <v>2019</v>
      </c>
      <c r="D63" s="5">
        <v>43751</v>
      </c>
      <c r="E63" s="1" t="s">
        <v>111</v>
      </c>
      <c r="F63" s="1">
        <v>28519</v>
      </c>
      <c r="G63" s="1" t="s">
        <v>32</v>
      </c>
      <c r="H63" s="1" t="s">
        <v>112</v>
      </c>
      <c r="I63" s="1" t="s">
        <v>1</v>
      </c>
      <c r="J63" s="1">
        <v>18</v>
      </c>
      <c r="K63" s="1">
        <f>J63*(IF(I63=ProdFam[[#Headers],[Test]],(VLOOKUP(Data[[#This Row],[Product Family]],ProdFam[],3,FALSE)),(VLOOKUP(Data[[#This Row],[Product Family]],ProdFam[],2,FALSE))))</f>
        <v>180</v>
      </c>
      <c r="L63" s="1">
        <v>135</v>
      </c>
      <c r="M63" s="1">
        <v>18</v>
      </c>
      <c r="N63" s="7">
        <f>IFERROR(Data[[#This Row],[Actual Time]]/Data[[#This Row],[QTY Complete]],"")</f>
        <v>7.5</v>
      </c>
      <c r="O63" s="7">
        <f>IF(I63=ProdFam[[#Headers],[Test]],(VLOOKUP(Data[[#This Row],[Product Family]],ProdFam[],3,FALSE)),(VLOOKUP(Data[[#This Row],[Product Family]],ProdFam[],2,FALSE)))</f>
        <v>10</v>
      </c>
    </row>
    <row r="64" spans="2:16" x14ac:dyDescent="0.25">
      <c r="B64" s="1">
        <f>WEEKNUM(Data[[#This Row],[Date]],1)</f>
        <v>42</v>
      </c>
      <c r="C64" s="1">
        <f>YEAR(Data[[#This Row],[Date]])</f>
        <v>2019</v>
      </c>
      <c r="D64" s="5">
        <v>43751</v>
      </c>
      <c r="E64" s="1" t="s">
        <v>111</v>
      </c>
      <c r="F64" s="1">
        <v>28507</v>
      </c>
      <c r="G64" s="1" t="s">
        <v>9</v>
      </c>
      <c r="H64" s="1" t="s">
        <v>112</v>
      </c>
      <c r="I64" s="1" t="s">
        <v>1</v>
      </c>
      <c r="J64" s="1">
        <v>9</v>
      </c>
      <c r="K64" s="1">
        <f>J64*(IF(I64=ProdFam[[#Headers],[Test]],(VLOOKUP(Data[[#This Row],[Product Family]],ProdFam[],3,FALSE)),(VLOOKUP(Data[[#This Row],[Product Family]],ProdFam[],2,FALSE))))</f>
        <v>90</v>
      </c>
      <c r="L64" s="1">
        <v>30</v>
      </c>
      <c r="M64" s="1">
        <v>3</v>
      </c>
      <c r="N64" s="7">
        <f>IFERROR(Data[[#This Row],[Actual Time]]/Data[[#This Row],[QTY Complete]],"")</f>
        <v>10</v>
      </c>
      <c r="O64" s="7">
        <f>IF(I64=ProdFam[[#Headers],[Test]],(VLOOKUP(Data[[#This Row],[Product Family]],ProdFam[],3,FALSE)),(VLOOKUP(Data[[#This Row],[Product Family]],ProdFam[],2,FALSE)))</f>
        <v>10</v>
      </c>
    </row>
    <row r="65" spans="2:15" x14ac:dyDescent="0.25">
      <c r="B65" s="1">
        <f>WEEKNUM(Data[[#This Row],[Date]],1)</f>
        <v>42</v>
      </c>
      <c r="C65" s="1">
        <f>YEAR(Data[[#This Row],[Date]])</f>
        <v>2019</v>
      </c>
      <c r="D65" s="5">
        <v>43752</v>
      </c>
      <c r="E65" s="1" t="s">
        <v>122</v>
      </c>
      <c r="F65" s="1">
        <v>28451</v>
      </c>
      <c r="G65" s="1" t="s">
        <v>21</v>
      </c>
      <c r="H65" s="1" t="s">
        <v>123</v>
      </c>
      <c r="I65" s="1" t="s">
        <v>0</v>
      </c>
      <c r="J65" s="1">
        <v>10</v>
      </c>
      <c r="K65" s="1">
        <f>J65*(IF(I65=ProdFam[[#Headers],[Test]],(VLOOKUP(Data[[#This Row],[Product Family]],ProdFam[],3,FALSE)),(VLOOKUP(Data[[#This Row],[Product Family]],ProdFam[],2,FALSE))))</f>
        <v>900</v>
      </c>
      <c r="L65" s="1">
        <v>150</v>
      </c>
      <c r="M65" s="1">
        <v>10</v>
      </c>
      <c r="N65" s="7">
        <f>IFERROR(Data[[#This Row],[Actual Time]]/Data[[#This Row],[QTY Complete]],"")</f>
        <v>15</v>
      </c>
      <c r="O65" s="7">
        <f>IF(I65=ProdFam[[#Headers],[Test]],(VLOOKUP(Data[[#This Row],[Product Family]],ProdFam[],3,FALSE)),(VLOOKUP(Data[[#This Row],[Product Family]],ProdFam[],2,FALSE)))</f>
        <v>90</v>
      </c>
    </row>
    <row r="66" spans="2:15" x14ac:dyDescent="0.25">
      <c r="B66" s="1">
        <f>WEEKNUM(Data[[#This Row],[Date]],1)</f>
        <v>42</v>
      </c>
      <c r="C66" s="1">
        <f>YEAR(Data[[#This Row],[Date]])</f>
        <v>2019</v>
      </c>
      <c r="D66" s="5">
        <v>43752</v>
      </c>
      <c r="E66" s="1" t="s">
        <v>122</v>
      </c>
      <c r="F66" s="1">
        <v>28465</v>
      </c>
      <c r="G66" s="1" t="s">
        <v>33</v>
      </c>
      <c r="H66" s="1" t="s">
        <v>123</v>
      </c>
      <c r="I66" s="1" t="s">
        <v>0</v>
      </c>
      <c r="J66" s="1">
        <v>8</v>
      </c>
      <c r="K66" s="1">
        <f>J66*(IF(I66=ProdFam[[#Headers],[Test]],(VLOOKUP(Data[[#This Row],[Product Family]],ProdFam[],3,FALSE)),(VLOOKUP(Data[[#This Row],[Product Family]],ProdFam[],2,FALSE))))</f>
        <v>720</v>
      </c>
      <c r="L66" s="1">
        <v>300</v>
      </c>
      <c r="M66" s="1">
        <v>0</v>
      </c>
      <c r="N66" s="7" t="str">
        <f>IFERROR(Data[[#This Row],[Actual Time]]/Data[[#This Row],[QTY Complete]],"")</f>
        <v/>
      </c>
      <c r="O66" s="7">
        <f>IF(I66=ProdFam[[#Headers],[Test]],(VLOOKUP(Data[[#This Row],[Product Family]],ProdFam[],3,FALSE)),(VLOOKUP(Data[[#This Row],[Product Family]],ProdFam[],2,FALSE)))</f>
        <v>90</v>
      </c>
    </row>
    <row r="67" spans="2:15" x14ac:dyDescent="0.25">
      <c r="B67" s="1">
        <f>WEEKNUM(Data[[#This Row],[Date]],1)</f>
        <v>42</v>
      </c>
      <c r="C67" s="1">
        <f>YEAR(Data[[#This Row],[Date]])</f>
        <v>2019</v>
      </c>
      <c r="D67" s="5">
        <v>43752</v>
      </c>
      <c r="E67" s="1" t="s">
        <v>118</v>
      </c>
      <c r="F67" s="1">
        <v>28481</v>
      </c>
      <c r="G67" s="1" t="s">
        <v>19</v>
      </c>
      <c r="H67" s="1" t="s">
        <v>113</v>
      </c>
      <c r="I67" s="1" t="s">
        <v>0</v>
      </c>
      <c r="J67" s="1">
        <v>3</v>
      </c>
      <c r="K67" s="1">
        <f>J67*(IF(I67=ProdFam[[#Headers],[Test]],(VLOOKUP(Data[[#This Row],[Product Family]],ProdFam[],3,FALSE)),(VLOOKUP(Data[[#This Row],[Product Family]],ProdFam[],2,FALSE))))</f>
        <v>141</v>
      </c>
      <c r="L67" s="1">
        <v>205</v>
      </c>
      <c r="M67" s="1">
        <v>3</v>
      </c>
      <c r="N67" s="7">
        <f>IFERROR(Data[[#This Row],[Actual Time]]/Data[[#This Row],[QTY Complete]],"")</f>
        <v>68.333333333333329</v>
      </c>
      <c r="O67" s="7">
        <f>IF(I67=ProdFam[[#Headers],[Test]],(VLOOKUP(Data[[#This Row],[Product Family]],ProdFam[],3,FALSE)),(VLOOKUP(Data[[#This Row],[Product Family]],ProdFam[],2,FALSE)))</f>
        <v>47</v>
      </c>
    </row>
    <row r="68" spans="2:15" x14ac:dyDescent="0.25">
      <c r="B68" s="1">
        <f>WEEKNUM(Data[[#This Row],[Date]],1)</f>
        <v>42</v>
      </c>
      <c r="C68" s="1">
        <f>YEAR(Data[[#This Row],[Date]])</f>
        <v>2019</v>
      </c>
      <c r="D68" s="5">
        <v>43752</v>
      </c>
      <c r="E68" s="1" t="s">
        <v>118</v>
      </c>
      <c r="F68" s="1">
        <v>28521</v>
      </c>
      <c r="G68" s="1" t="s">
        <v>34</v>
      </c>
      <c r="H68" s="1" t="s">
        <v>113</v>
      </c>
      <c r="I68" s="1" t="s">
        <v>0</v>
      </c>
      <c r="J68" s="1">
        <v>1</v>
      </c>
      <c r="K68" s="1">
        <f>J68*(IF(I68=ProdFam[[#Headers],[Test]],(VLOOKUP(Data[[#This Row],[Product Family]],ProdFam[],3,FALSE)),(VLOOKUP(Data[[#This Row],[Product Family]],ProdFam[],2,FALSE))))</f>
        <v>47</v>
      </c>
      <c r="L68" s="1">
        <v>40</v>
      </c>
      <c r="M68" s="1">
        <v>1</v>
      </c>
      <c r="N68" s="7">
        <f>IFERROR(Data[[#This Row],[Actual Time]]/Data[[#This Row],[QTY Complete]],"")</f>
        <v>40</v>
      </c>
      <c r="O68" s="7">
        <f>IF(I68=ProdFam[[#Headers],[Test]],(VLOOKUP(Data[[#This Row],[Product Family]],ProdFam[],3,FALSE)),(VLOOKUP(Data[[#This Row],[Product Family]],ProdFam[],2,FALSE)))</f>
        <v>47</v>
      </c>
    </row>
    <row r="69" spans="2:15" x14ac:dyDescent="0.25">
      <c r="B69" s="1">
        <f>WEEKNUM(Data[[#This Row],[Date]],1)</f>
        <v>42</v>
      </c>
      <c r="C69" s="1">
        <f>YEAR(Data[[#This Row],[Date]])</f>
        <v>2019</v>
      </c>
      <c r="D69" s="5">
        <v>43752</v>
      </c>
      <c r="E69" s="1" t="s">
        <v>118</v>
      </c>
      <c r="F69" s="1">
        <v>28569</v>
      </c>
      <c r="G69" s="1" t="s">
        <v>27</v>
      </c>
      <c r="H69" s="1" t="s">
        <v>113</v>
      </c>
      <c r="I69" s="1" t="s">
        <v>0</v>
      </c>
      <c r="J69" s="1">
        <v>2</v>
      </c>
      <c r="K69" s="1">
        <f>J69*(IF(I69=ProdFam[[#Headers],[Test]],(VLOOKUP(Data[[#This Row],[Product Family]],ProdFam[],3,FALSE)),(VLOOKUP(Data[[#This Row],[Product Family]],ProdFam[],2,FALSE))))</f>
        <v>94</v>
      </c>
      <c r="L69" s="1">
        <v>78</v>
      </c>
      <c r="M69" s="1">
        <v>2</v>
      </c>
      <c r="N69" s="7">
        <f>IFERROR(Data[[#This Row],[Actual Time]]/Data[[#This Row],[QTY Complete]],"")</f>
        <v>39</v>
      </c>
      <c r="O69" s="7">
        <f>IF(I69=ProdFam[[#Headers],[Test]],(VLOOKUP(Data[[#This Row],[Product Family]],ProdFam[],3,FALSE)),(VLOOKUP(Data[[#This Row],[Product Family]],ProdFam[],2,FALSE)))</f>
        <v>47</v>
      </c>
    </row>
    <row r="70" spans="2:15" x14ac:dyDescent="0.25">
      <c r="B70" s="1">
        <f>WEEKNUM(Data[[#This Row],[Date]],1)</f>
        <v>42</v>
      </c>
      <c r="C70" s="1">
        <f>YEAR(Data[[#This Row],[Date]])</f>
        <v>2019</v>
      </c>
      <c r="D70" s="5">
        <v>43752</v>
      </c>
      <c r="E70" s="1" t="s">
        <v>118</v>
      </c>
      <c r="F70" s="1">
        <v>28510</v>
      </c>
      <c r="G70" s="1" t="s">
        <v>35</v>
      </c>
      <c r="H70" s="1" t="s">
        <v>112</v>
      </c>
      <c r="I70" s="1" t="s">
        <v>0</v>
      </c>
      <c r="J70" s="1">
        <v>6</v>
      </c>
      <c r="K70" s="1">
        <f>J70*(IF(I70=ProdFam[[#Headers],[Test]],(VLOOKUP(Data[[#This Row],[Product Family]],ProdFam[],3,FALSE)),(VLOOKUP(Data[[#This Row],[Product Family]],ProdFam[],2,FALSE))))</f>
        <v>60</v>
      </c>
      <c r="L70" s="1">
        <v>15</v>
      </c>
      <c r="M70" s="1">
        <v>6</v>
      </c>
      <c r="N70" s="7">
        <f>IFERROR(Data[[#This Row],[Actual Time]]/Data[[#This Row],[QTY Complete]],"")</f>
        <v>2.5</v>
      </c>
      <c r="O70" s="7">
        <f>IF(I70=ProdFam[[#Headers],[Test]],(VLOOKUP(Data[[#This Row],[Product Family]],ProdFam[],3,FALSE)),(VLOOKUP(Data[[#This Row],[Product Family]],ProdFam[],2,FALSE)))</f>
        <v>10</v>
      </c>
    </row>
    <row r="71" spans="2:15" x14ac:dyDescent="0.25">
      <c r="B71" s="1">
        <f>WEEKNUM(Data[[#This Row],[Date]],1)</f>
        <v>42</v>
      </c>
      <c r="C71" s="1">
        <f>YEAR(Data[[#This Row],[Date]])</f>
        <v>2019</v>
      </c>
      <c r="D71" s="5">
        <v>43752</v>
      </c>
      <c r="E71" s="1" t="s">
        <v>118</v>
      </c>
      <c r="F71" s="1">
        <v>28533</v>
      </c>
      <c r="G71" s="1" t="s">
        <v>36</v>
      </c>
      <c r="H71" s="1" t="s">
        <v>112</v>
      </c>
      <c r="I71" s="1" t="s">
        <v>0</v>
      </c>
      <c r="J71" s="1">
        <v>6</v>
      </c>
      <c r="K71" s="1">
        <f>J71*(IF(I71=ProdFam[[#Headers],[Test]],(VLOOKUP(Data[[#This Row],[Product Family]],ProdFam[],3,FALSE)),(VLOOKUP(Data[[#This Row],[Product Family]],ProdFam[],2,FALSE))))</f>
        <v>60</v>
      </c>
      <c r="L71" s="1">
        <v>13</v>
      </c>
      <c r="M71" s="1">
        <v>6</v>
      </c>
      <c r="N71" s="7">
        <f>IFERROR(Data[[#This Row],[Actual Time]]/Data[[#This Row],[QTY Complete]],"")</f>
        <v>2.1666666666666665</v>
      </c>
      <c r="O71" s="7">
        <f>IF(I71=ProdFam[[#Headers],[Test]],(VLOOKUP(Data[[#This Row],[Product Family]],ProdFam[],3,FALSE)),(VLOOKUP(Data[[#This Row],[Product Family]],ProdFam[],2,FALSE)))</f>
        <v>10</v>
      </c>
    </row>
    <row r="72" spans="2:15" x14ac:dyDescent="0.25">
      <c r="B72" s="1">
        <f>WEEKNUM(Data[[#This Row],[Date]],1)</f>
        <v>42</v>
      </c>
      <c r="C72" s="1">
        <f>YEAR(Data[[#This Row],[Date]])</f>
        <v>2019</v>
      </c>
      <c r="D72" s="5">
        <v>43752</v>
      </c>
      <c r="E72" s="1" t="s">
        <v>114</v>
      </c>
      <c r="F72" s="1">
        <v>28534</v>
      </c>
      <c r="G72" s="1" t="s">
        <v>37</v>
      </c>
      <c r="H72" s="1" t="s">
        <v>112</v>
      </c>
      <c r="I72" s="1" t="s">
        <v>0</v>
      </c>
      <c r="J72" s="1">
        <v>3</v>
      </c>
      <c r="K72" s="1">
        <f>J72*(IF(I72=ProdFam[[#Headers],[Test]],(VLOOKUP(Data[[#This Row],[Product Family]],ProdFam[],3,FALSE)),(VLOOKUP(Data[[#This Row],[Product Family]],ProdFam[],2,FALSE))))</f>
        <v>30</v>
      </c>
      <c r="L72" s="1">
        <v>51</v>
      </c>
      <c r="M72" s="1">
        <v>0</v>
      </c>
      <c r="N72" s="7" t="str">
        <f>IFERROR(Data[[#This Row],[Actual Time]]/Data[[#This Row],[QTY Complete]],"")</f>
        <v/>
      </c>
      <c r="O72" s="7">
        <f>IF(I72=ProdFam[[#Headers],[Test]],(VLOOKUP(Data[[#This Row],[Product Family]],ProdFam[],3,FALSE)),(VLOOKUP(Data[[#This Row],[Product Family]],ProdFam[],2,FALSE)))</f>
        <v>10</v>
      </c>
    </row>
    <row r="73" spans="2:15" x14ac:dyDescent="0.25">
      <c r="B73" s="1">
        <f>WEEKNUM(Data[[#This Row],[Date]],1)</f>
        <v>42</v>
      </c>
      <c r="C73" s="1">
        <f>YEAR(Data[[#This Row],[Date]])</f>
        <v>2019</v>
      </c>
      <c r="D73" s="5">
        <v>43752</v>
      </c>
      <c r="E73" s="1" t="s">
        <v>114</v>
      </c>
      <c r="F73" s="1">
        <v>28510</v>
      </c>
      <c r="G73" s="1" t="s">
        <v>35</v>
      </c>
      <c r="H73" s="1" t="s">
        <v>112</v>
      </c>
      <c r="I73" s="1" t="s">
        <v>0</v>
      </c>
      <c r="J73" s="1">
        <v>6</v>
      </c>
      <c r="K73" s="1">
        <f>J73*(IF(I73=ProdFam[[#Headers],[Test]],(VLOOKUP(Data[[#This Row],[Product Family]],ProdFam[],3,FALSE)),(VLOOKUP(Data[[#This Row],[Product Family]],ProdFam[],2,FALSE))))</f>
        <v>60</v>
      </c>
      <c r="L73" s="1">
        <v>30</v>
      </c>
      <c r="M73" s="1">
        <v>0</v>
      </c>
      <c r="N73" s="7" t="str">
        <f>IFERROR(Data[[#This Row],[Actual Time]]/Data[[#This Row],[QTY Complete]],"")</f>
        <v/>
      </c>
      <c r="O73" s="7">
        <f>IF(I73=ProdFam[[#Headers],[Test]],(VLOOKUP(Data[[#This Row],[Product Family]],ProdFam[],3,FALSE)),(VLOOKUP(Data[[#This Row],[Product Family]],ProdFam[],2,FALSE)))</f>
        <v>10</v>
      </c>
    </row>
    <row r="74" spans="2:15" x14ac:dyDescent="0.25">
      <c r="B74" s="1">
        <f>WEEKNUM(Data[[#This Row],[Date]],1)</f>
        <v>42</v>
      </c>
      <c r="C74" s="1">
        <f>YEAR(Data[[#This Row],[Date]])</f>
        <v>2019</v>
      </c>
      <c r="D74" s="5">
        <v>43752</v>
      </c>
      <c r="E74" s="1" t="s">
        <v>114</v>
      </c>
      <c r="F74" s="1">
        <v>28533</v>
      </c>
      <c r="G74" s="1" t="s">
        <v>36</v>
      </c>
      <c r="H74" s="1" t="s">
        <v>112</v>
      </c>
      <c r="I74" s="1" t="s">
        <v>0</v>
      </c>
      <c r="J74" s="1">
        <v>6</v>
      </c>
      <c r="K74" s="1">
        <f>J74*(IF(I74=ProdFam[[#Headers],[Test]],(VLOOKUP(Data[[#This Row],[Product Family]],ProdFam[],3,FALSE)),(VLOOKUP(Data[[#This Row],[Product Family]],ProdFam[],2,FALSE))))</f>
        <v>60</v>
      </c>
      <c r="L74" s="1">
        <v>40</v>
      </c>
      <c r="M74" s="1">
        <v>0</v>
      </c>
      <c r="N74" s="7" t="str">
        <f>IFERROR(Data[[#This Row],[Actual Time]]/Data[[#This Row],[QTY Complete]],"")</f>
        <v/>
      </c>
      <c r="O74" s="7">
        <f>IF(I74=ProdFam[[#Headers],[Test]],(VLOOKUP(Data[[#This Row],[Product Family]],ProdFam[],3,FALSE)),(VLOOKUP(Data[[#This Row],[Product Family]],ProdFam[],2,FALSE)))</f>
        <v>10</v>
      </c>
    </row>
    <row r="75" spans="2:15" x14ac:dyDescent="0.25">
      <c r="B75" s="1">
        <f>WEEKNUM(Data[[#This Row],[Date]],1)</f>
        <v>42</v>
      </c>
      <c r="C75" s="1">
        <f>YEAR(Data[[#This Row],[Date]])</f>
        <v>2019</v>
      </c>
      <c r="D75" s="5">
        <v>43752</v>
      </c>
      <c r="E75" s="1" t="s">
        <v>114</v>
      </c>
      <c r="F75" s="1">
        <v>28572</v>
      </c>
      <c r="G75" s="1" t="s">
        <v>38</v>
      </c>
      <c r="H75" s="1" t="s">
        <v>115</v>
      </c>
      <c r="I75" s="1" t="s">
        <v>0</v>
      </c>
      <c r="J75" s="1">
        <v>10</v>
      </c>
      <c r="K75" s="1">
        <f>J75*(IF(I75=ProdFam[[#Headers],[Test]],(VLOOKUP(Data[[#This Row],[Product Family]],ProdFam[],3,FALSE)),(VLOOKUP(Data[[#This Row],[Product Family]],ProdFam[],2,FALSE))))</f>
        <v>80</v>
      </c>
      <c r="L75" s="1">
        <v>25</v>
      </c>
      <c r="M75" s="1">
        <v>10</v>
      </c>
      <c r="N75" s="7">
        <f>IFERROR(Data[[#This Row],[Actual Time]]/Data[[#This Row],[QTY Complete]],"")</f>
        <v>2.5</v>
      </c>
      <c r="O75" s="7">
        <f>IF(I75=ProdFam[[#Headers],[Test]],(VLOOKUP(Data[[#This Row],[Product Family]],ProdFam[],3,FALSE)),(VLOOKUP(Data[[#This Row],[Product Family]],ProdFam[],2,FALSE)))</f>
        <v>8</v>
      </c>
    </row>
    <row r="76" spans="2:15" x14ac:dyDescent="0.25">
      <c r="B76" s="1">
        <f>WEEKNUM(Data[[#This Row],[Date]],1)</f>
        <v>42</v>
      </c>
      <c r="C76" s="1">
        <f>YEAR(Data[[#This Row],[Date]])</f>
        <v>2019</v>
      </c>
      <c r="D76" s="5">
        <v>43752</v>
      </c>
      <c r="E76" s="1" t="s">
        <v>114</v>
      </c>
      <c r="F76" s="1">
        <v>28471</v>
      </c>
      <c r="G76" s="1" t="s">
        <v>39</v>
      </c>
      <c r="H76" s="1" t="s">
        <v>112</v>
      </c>
      <c r="I76" s="1" t="s">
        <v>0</v>
      </c>
      <c r="J76" s="1">
        <v>5</v>
      </c>
      <c r="K76" s="1">
        <f>J76*(IF(I76=ProdFam[[#Headers],[Test]],(VLOOKUP(Data[[#This Row],[Product Family]],ProdFam[],3,FALSE)),(VLOOKUP(Data[[#This Row],[Product Family]],ProdFam[],2,FALSE))))</f>
        <v>50</v>
      </c>
      <c r="L76" s="1">
        <v>15</v>
      </c>
      <c r="M76" s="1">
        <v>5</v>
      </c>
      <c r="N76" s="7">
        <f>IFERROR(Data[[#This Row],[Actual Time]]/Data[[#This Row],[QTY Complete]],"")</f>
        <v>3</v>
      </c>
      <c r="O76" s="7">
        <f>IF(I76=ProdFam[[#Headers],[Test]],(VLOOKUP(Data[[#This Row],[Product Family]],ProdFam[],3,FALSE)),(VLOOKUP(Data[[#This Row],[Product Family]],ProdFam[],2,FALSE)))</f>
        <v>10</v>
      </c>
    </row>
    <row r="77" spans="2:15" x14ac:dyDescent="0.25">
      <c r="B77" s="1">
        <f>WEEKNUM(Data[[#This Row],[Date]],1)</f>
        <v>42</v>
      </c>
      <c r="C77" s="1">
        <f>YEAR(Data[[#This Row],[Date]])</f>
        <v>2019</v>
      </c>
      <c r="D77" s="5">
        <v>43752</v>
      </c>
      <c r="E77" s="1" t="s">
        <v>114</v>
      </c>
      <c r="F77" s="1">
        <v>58936</v>
      </c>
      <c r="G77" s="1" t="s">
        <v>40</v>
      </c>
      <c r="H77" s="1" t="s">
        <v>162</v>
      </c>
      <c r="I77" s="1" t="s">
        <v>0</v>
      </c>
      <c r="J77" s="1">
        <v>2</v>
      </c>
      <c r="K77" s="1">
        <f>J77*(IF(I77=ProdFam[[#Headers],[Test]],(VLOOKUP(Data[[#This Row],[Product Family]],ProdFam[],3,FALSE)),(VLOOKUP(Data[[#This Row],[Product Family]],ProdFam[],2,FALSE))))</f>
        <v>20</v>
      </c>
      <c r="L77" s="1">
        <v>45</v>
      </c>
      <c r="M77" s="1">
        <v>0</v>
      </c>
      <c r="N77" s="7" t="str">
        <f>IFERROR(Data[[#This Row],[Actual Time]]/Data[[#This Row],[QTY Complete]],"")</f>
        <v/>
      </c>
      <c r="O77" s="7">
        <f>IF(I77=ProdFam[[#Headers],[Test]],(VLOOKUP(Data[[#This Row],[Product Family]],ProdFam[],3,FALSE)),(VLOOKUP(Data[[#This Row],[Product Family]],ProdFam[],2,FALSE)))</f>
        <v>10</v>
      </c>
    </row>
    <row r="78" spans="2:15" x14ac:dyDescent="0.25">
      <c r="B78" s="1">
        <f>WEEKNUM(Data[[#This Row],[Date]],1)</f>
        <v>42</v>
      </c>
      <c r="C78" s="1">
        <f>YEAR(Data[[#This Row],[Date]])</f>
        <v>2019</v>
      </c>
      <c r="D78" s="5">
        <v>43752</v>
      </c>
      <c r="E78" s="1" t="s">
        <v>114</v>
      </c>
      <c r="F78" s="1">
        <v>60791</v>
      </c>
      <c r="G78" s="1" t="s">
        <v>16</v>
      </c>
      <c r="H78" s="1" t="s">
        <v>162</v>
      </c>
      <c r="I78" s="1" t="s">
        <v>0</v>
      </c>
      <c r="J78" s="1">
        <v>1</v>
      </c>
      <c r="K78" s="1">
        <f>J78*(IF(I78=ProdFam[[#Headers],[Test]],(VLOOKUP(Data[[#This Row],[Product Family]],ProdFam[],3,FALSE)),(VLOOKUP(Data[[#This Row],[Product Family]],ProdFam[],2,FALSE))))</f>
        <v>10</v>
      </c>
      <c r="L78" s="1">
        <v>23</v>
      </c>
      <c r="M78" s="1">
        <v>0</v>
      </c>
      <c r="N78" s="7" t="str">
        <f>IFERROR(Data[[#This Row],[Actual Time]]/Data[[#This Row],[QTY Complete]],"")</f>
        <v/>
      </c>
      <c r="O78" s="7">
        <f>IF(I78=ProdFam[[#Headers],[Test]],(VLOOKUP(Data[[#This Row],[Product Family]],ProdFam[],3,FALSE)),(VLOOKUP(Data[[#This Row],[Product Family]],ProdFam[],2,FALSE)))</f>
        <v>10</v>
      </c>
    </row>
    <row r="79" spans="2:15" x14ac:dyDescent="0.25">
      <c r="B79" s="1">
        <f>WEEKNUM(Data[[#This Row],[Date]],1)</f>
        <v>42</v>
      </c>
      <c r="C79" s="1">
        <f>YEAR(Data[[#This Row],[Date]])</f>
        <v>2019</v>
      </c>
      <c r="D79" s="5">
        <v>43752</v>
      </c>
      <c r="E79" s="1" t="s">
        <v>114</v>
      </c>
      <c r="F79" s="1">
        <v>60714</v>
      </c>
      <c r="G79" s="1" t="s">
        <v>16</v>
      </c>
      <c r="H79" s="1" t="s">
        <v>162</v>
      </c>
      <c r="I79" s="1" t="s">
        <v>0</v>
      </c>
      <c r="J79" s="1">
        <v>2</v>
      </c>
      <c r="K79" s="1">
        <f>J79*(IF(I79=ProdFam[[#Headers],[Test]],(VLOOKUP(Data[[#This Row],[Product Family]],ProdFam[],3,FALSE)),(VLOOKUP(Data[[#This Row],[Product Family]],ProdFam[],2,FALSE))))</f>
        <v>20</v>
      </c>
      <c r="L79" s="1">
        <v>45</v>
      </c>
      <c r="M79" s="1">
        <v>0</v>
      </c>
      <c r="N79" s="7" t="str">
        <f>IFERROR(Data[[#This Row],[Actual Time]]/Data[[#This Row],[QTY Complete]],"")</f>
        <v/>
      </c>
      <c r="O79" s="7">
        <f>IF(I79=ProdFam[[#Headers],[Test]],(VLOOKUP(Data[[#This Row],[Product Family]],ProdFam[],3,FALSE)),(VLOOKUP(Data[[#This Row],[Product Family]],ProdFam[],2,FALSE)))</f>
        <v>10</v>
      </c>
    </row>
    <row r="80" spans="2:15" x14ac:dyDescent="0.25">
      <c r="B80" s="1">
        <f>WEEKNUM(Data[[#This Row],[Date]],1)</f>
        <v>42</v>
      </c>
      <c r="C80" s="1">
        <f>YEAR(Data[[#This Row],[Date]])</f>
        <v>2019</v>
      </c>
      <c r="D80" s="5">
        <v>43752</v>
      </c>
      <c r="E80" s="1" t="s">
        <v>114</v>
      </c>
      <c r="F80" s="1">
        <v>60771</v>
      </c>
      <c r="G80" s="1" t="s">
        <v>41</v>
      </c>
      <c r="H80" s="1" t="s">
        <v>162</v>
      </c>
      <c r="I80" s="1" t="s">
        <v>0</v>
      </c>
      <c r="J80" s="1">
        <v>1</v>
      </c>
      <c r="K80" s="1">
        <f>J80*(IF(I80=ProdFam[[#Headers],[Test]],(VLOOKUP(Data[[#This Row],[Product Family]],ProdFam[],3,FALSE)),(VLOOKUP(Data[[#This Row],[Product Family]],ProdFam[],2,FALSE))))</f>
        <v>10</v>
      </c>
      <c r="L80" s="1">
        <v>23</v>
      </c>
      <c r="M80" s="1">
        <v>0</v>
      </c>
      <c r="N80" s="7" t="str">
        <f>IFERROR(Data[[#This Row],[Actual Time]]/Data[[#This Row],[QTY Complete]],"")</f>
        <v/>
      </c>
      <c r="O80" s="7">
        <f>IF(I80=ProdFam[[#Headers],[Test]],(VLOOKUP(Data[[#This Row],[Product Family]],ProdFam[],3,FALSE)),(VLOOKUP(Data[[#This Row],[Product Family]],ProdFam[],2,FALSE)))</f>
        <v>10</v>
      </c>
    </row>
    <row r="81" spans="2:15" x14ac:dyDescent="0.25">
      <c r="B81" s="1">
        <f>WEEKNUM(Data[[#This Row],[Date]],1)</f>
        <v>42</v>
      </c>
      <c r="C81" s="1">
        <f>YEAR(Data[[#This Row],[Date]])</f>
        <v>2019</v>
      </c>
      <c r="D81" s="5">
        <v>43752</v>
      </c>
      <c r="E81" s="1" t="s">
        <v>114</v>
      </c>
      <c r="F81" s="1">
        <v>60792</v>
      </c>
      <c r="G81" s="1" t="s">
        <v>27</v>
      </c>
      <c r="H81" s="1" t="s">
        <v>162</v>
      </c>
      <c r="I81" s="1" t="s">
        <v>0</v>
      </c>
      <c r="J81" s="1">
        <v>2</v>
      </c>
      <c r="K81" s="1">
        <f>J81*(IF(I81=ProdFam[[#Headers],[Test]],(VLOOKUP(Data[[#This Row],[Product Family]],ProdFam[],3,FALSE)),(VLOOKUP(Data[[#This Row],[Product Family]],ProdFam[],2,FALSE))))</f>
        <v>20</v>
      </c>
      <c r="L81" s="1">
        <v>45</v>
      </c>
      <c r="M81" s="1">
        <v>0</v>
      </c>
      <c r="N81" s="7" t="str">
        <f>IFERROR(Data[[#This Row],[Actual Time]]/Data[[#This Row],[QTY Complete]],"")</f>
        <v/>
      </c>
      <c r="O81" s="7">
        <f>IF(I81=ProdFam[[#Headers],[Test]],(VLOOKUP(Data[[#This Row],[Product Family]],ProdFam[],3,FALSE)),(VLOOKUP(Data[[#This Row],[Product Family]],ProdFam[],2,FALSE)))</f>
        <v>10</v>
      </c>
    </row>
    <row r="82" spans="2:15" x14ac:dyDescent="0.25">
      <c r="B82" s="1">
        <f>WEEKNUM(Data[[#This Row],[Date]],1)</f>
        <v>42</v>
      </c>
      <c r="C82" s="1">
        <f>YEAR(Data[[#This Row],[Date]])</f>
        <v>2019</v>
      </c>
      <c r="D82" s="5">
        <v>43752</v>
      </c>
      <c r="E82" s="1" t="s">
        <v>114</v>
      </c>
      <c r="F82" s="1">
        <v>28539</v>
      </c>
      <c r="G82" s="1" t="s">
        <v>42</v>
      </c>
      <c r="H82" s="1" t="s">
        <v>112</v>
      </c>
      <c r="I82" s="1" t="s">
        <v>0</v>
      </c>
      <c r="J82" s="1">
        <v>15</v>
      </c>
      <c r="K82" s="1">
        <f>J82*(IF(I82=ProdFam[[#Headers],[Test]],(VLOOKUP(Data[[#This Row],[Product Family]],ProdFam[],3,FALSE)),(VLOOKUP(Data[[#This Row],[Product Family]],ProdFam[],2,FALSE))))</f>
        <v>150</v>
      </c>
      <c r="L82" s="1">
        <v>40</v>
      </c>
      <c r="M82" s="1">
        <v>0</v>
      </c>
      <c r="N82" s="7" t="str">
        <f>IFERROR(Data[[#This Row],[Actual Time]]/Data[[#This Row],[QTY Complete]],"")</f>
        <v/>
      </c>
      <c r="O82" s="7">
        <f>IF(I82=ProdFam[[#Headers],[Test]],(VLOOKUP(Data[[#This Row],[Product Family]],ProdFam[],3,FALSE)),(VLOOKUP(Data[[#This Row],[Product Family]],ProdFam[],2,FALSE)))</f>
        <v>10</v>
      </c>
    </row>
    <row r="83" spans="2:15" x14ac:dyDescent="0.25">
      <c r="B83" s="1">
        <f>WEEKNUM(Data[[#This Row],[Date]],1)</f>
        <v>42</v>
      </c>
      <c r="C83" s="1">
        <f>YEAR(Data[[#This Row],[Date]])</f>
        <v>2019</v>
      </c>
      <c r="D83" s="5">
        <v>43753</v>
      </c>
      <c r="E83" s="1" t="s">
        <v>111</v>
      </c>
      <c r="F83" s="1">
        <v>28507</v>
      </c>
      <c r="G83" s="1" t="s">
        <v>9</v>
      </c>
      <c r="H83" s="1" t="s">
        <v>112</v>
      </c>
      <c r="I83" s="1" t="s">
        <v>1</v>
      </c>
      <c r="J83" s="1">
        <v>9</v>
      </c>
      <c r="K83" s="1">
        <f>J83*(IF(I83=ProdFam[[#Headers],[Test]],(VLOOKUP(Data[[#This Row],[Product Family]],ProdFam[],3,FALSE)),(VLOOKUP(Data[[#This Row],[Product Family]],ProdFam[],2,FALSE))))</f>
        <v>90</v>
      </c>
      <c r="L83" s="1">
        <v>60</v>
      </c>
      <c r="M83" s="1">
        <v>6</v>
      </c>
      <c r="N83" s="7">
        <f>IFERROR(Data[[#This Row],[Actual Time]]/Data[[#This Row],[QTY Complete]],"")</f>
        <v>10</v>
      </c>
      <c r="O83" s="7">
        <f>IF(I83=ProdFam[[#Headers],[Test]],(VLOOKUP(Data[[#This Row],[Product Family]],ProdFam[],3,FALSE)),(VLOOKUP(Data[[#This Row],[Product Family]],ProdFam[],2,FALSE)))</f>
        <v>10</v>
      </c>
    </row>
    <row r="84" spans="2:15" x14ac:dyDescent="0.25">
      <c r="B84" s="1">
        <f>WEEKNUM(Data[[#This Row],[Date]],1)</f>
        <v>42</v>
      </c>
      <c r="C84" s="1">
        <f>YEAR(Data[[#This Row],[Date]])</f>
        <v>2019</v>
      </c>
      <c r="D84" s="5">
        <v>43753</v>
      </c>
      <c r="E84" s="1" t="s">
        <v>111</v>
      </c>
      <c r="F84" s="1">
        <v>28510</v>
      </c>
      <c r="G84" s="1" t="s">
        <v>35</v>
      </c>
      <c r="H84" s="1" t="s">
        <v>112</v>
      </c>
      <c r="I84" s="1" t="s">
        <v>1</v>
      </c>
      <c r="J84" s="1">
        <v>6</v>
      </c>
      <c r="K84" s="1">
        <f>J84*(IF(I84=ProdFam[[#Headers],[Test]],(VLOOKUP(Data[[#This Row],[Product Family]],ProdFam[],3,FALSE)),(VLOOKUP(Data[[#This Row],[Product Family]],ProdFam[],2,FALSE))))</f>
        <v>60</v>
      </c>
      <c r="L84" s="1">
        <v>45</v>
      </c>
      <c r="M84" s="1">
        <v>6</v>
      </c>
      <c r="N84" s="7">
        <f>IFERROR(Data[[#This Row],[Actual Time]]/Data[[#This Row],[QTY Complete]],"")</f>
        <v>7.5</v>
      </c>
      <c r="O84" s="7">
        <f>IF(I84=ProdFam[[#Headers],[Test]],(VLOOKUP(Data[[#This Row],[Product Family]],ProdFam[],3,FALSE)),(VLOOKUP(Data[[#This Row],[Product Family]],ProdFam[],2,FALSE)))</f>
        <v>10</v>
      </c>
    </row>
    <row r="85" spans="2:15" x14ac:dyDescent="0.25">
      <c r="B85" s="1">
        <f>WEEKNUM(Data[[#This Row],[Date]],1)</f>
        <v>42</v>
      </c>
      <c r="C85" s="1">
        <f>YEAR(Data[[#This Row],[Date]])</f>
        <v>2019</v>
      </c>
      <c r="D85" s="5">
        <v>43753</v>
      </c>
      <c r="E85" s="1" t="s">
        <v>111</v>
      </c>
      <c r="F85" s="1">
        <v>28533</v>
      </c>
      <c r="G85" s="1" t="s">
        <v>36</v>
      </c>
      <c r="H85" s="1" t="s">
        <v>112</v>
      </c>
      <c r="I85" s="1" t="s">
        <v>1</v>
      </c>
      <c r="J85" s="1">
        <v>6</v>
      </c>
      <c r="K85" s="1">
        <f>J85*(IF(I85=ProdFam[[#Headers],[Test]],(VLOOKUP(Data[[#This Row],[Product Family]],ProdFam[],3,FALSE)),(VLOOKUP(Data[[#This Row],[Product Family]],ProdFam[],2,FALSE))))</f>
        <v>60</v>
      </c>
      <c r="L85" s="1">
        <v>45</v>
      </c>
      <c r="M85" s="1">
        <v>6</v>
      </c>
      <c r="N85" s="7">
        <f>IFERROR(Data[[#This Row],[Actual Time]]/Data[[#This Row],[QTY Complete]],"")</f>
        <v>7.5</v>
      </c>
      <c r="O85" s="7">
        <f>IF(I85=ProdFam[[#Headers],[Test]],(VLOOKUP(Data[[#This Row],[Product Family]],ProdFam[],3,FALSE)),(VLOOKUP(Data[[#This Row],[Product Family]],ProdFam[],2,FALSE)))</f>
        <v>10</v>
      </c>
    </row>
    <row r="86" spans="2:15" x14ac:dyDescent="0.25">
      <c r="B86" s="1">
        <f>WEEKNUM(Data[[#This Row],[Date]],1)</f>
        <v>42</v>
      </c>
      <c r="C86" s="1">
        <f>YEAR(Data[[#This Row],[Date]])</f>
        <v>2019</v>
      </c>
      <c r="D86" s="5">
        <v>43753</v>
      </c>
      <c r="E86" s="1" t="s">
        <v>111</v>
      </c>
      <c r="F86" s="1">
        <v>28471</v>
      </c>
      <c r="G86" s="1" t="s">
        <v>39</v>
      </c>
      <c r="H86" s="1" t="s">
        <v>112</v>
      </c>
      <c r="I86" s="1" t="s">
        <v>1</v>
      </c>
      <c r="J86" s="1">
        <v>5</v>
      </c>
      <c r="K86" s="1">
        <f>J86*(IF(I86=ProdFam[[#Headers],[Test]],(VLOOKUP(Data[[#This Row],[Product Family]],ProdFam[],3,FALSE)),(VLOOKUP(Data[[#This Row],[Product Family]],ProdFam[],2,FALSE))))</f>
        <v>50</v>
      </c>
      <c r="L86" s="1">
        <v>35</v>
      </c>
      <c r="M86" s="1">
        <v>5</v>
      </c>
      <c r="N86" s="7">
        <f>IFERROR(Data[[#This Row],[Actual Time]]/Data[[#This Row],[QTY Complete]],"")</f>
        <v>7</v>
      </c>
      <c r="O86" s="7">
        <f>IF(I86=ProdFam[[#Headers],[Test]],(VLOOKUP(Data[[#This Row],[Product Family]],ProdFam[],3,FALSE)),(VLOOKUP(Data[[#This Row],[Product Family]],ProdFam[],2,FALSE)))</f>
        <v>10</v>
      </c>
    </row>
    <row r="87" spans="2:15" x14ac:dyDescent="0.25">
      <c r="B87" s="1">
        <f>WEEKNUM(Data[[#This Row],[Date]],1)</f>
        <v>42</v>
      </c>
      <c r="C87" s="1">
        <f>YEAR(Data[[#This Row],[Date]])</f>
        <v>2019</v>
      </c>
      <c r="D87" s="5">
        <v>43753</v>
      </c>
      <c r="E87" s="1" t="s">
        <v>111</v>
      </c>
      <c r="F87" s="1">
        <v>28534</v>
      </c>
      <c r="G87" s="1" t="s">
        <v>37</v>
      </c>
      <c r="H87" s="1" t="s">
        <v>112</v>
      </c>
      <c r="I87" s="1" t="s">
        <v>1</v>
      </c>
      <c r="J87" s="1">
        <v>3</v>
      </c>
      <c r="K87" s="1">
        <f>J87*(IF(I87=ProdFam[[#Headers],[Test]],(VLOOKUP(Data[[#This Row],[Product Family]],ProdFam[],3,FALSE)),(VLOOKUP(Data[[#This Row],[Product Family]],ProdFam[],2,FALSE))))</f>
        <v>30</v>
      </c>
      <c r="L87" s="1">
        <v>30</v>
      </c>
      <c r="M87" s="1">
        <v>3</v>
      </c>
      <c r="N87" s="7">
        <f>IFERROR(Data[[#This Row],[Actual Time]]/Data[[#This Row],[QTY Complete]],"")</f>
        <v>10</v>
      </c>
      <c r="O87" s="7">
        <f>IF(I87=ProdFam[[#Headers],[Test]],(VLOOKUP(Data[[#This Row],[Product Family]],ProdFam[],3,FALSE)),(VLOOKUP(Data[[#This Row],[Product Family]],ProdFam[],2,FALSE)))</f>
        <v>10</v>
      </c>
    </row>
    <row r="88" spans="2:15" x14ac:dyDescent="0.25">
      <c r="B88" s="1">
        <f>WEEKNUM(Data[[#This Row],[Date]],1)</f>
        <v>42</v>
      </c>
      <c r="C88" s="1">
        <f>YEAR(Data[[#This Row],[Date]])</f>
        <v>2019</v>
      </c>
      <c r="D88" s="5">
        <v>43753</v>
      </c>
      <c r="E88" s="1" t="s">
        <v>111</v>
      </c>
      <c r="F88" s="1">
        <v>28539</v>
      </c>
      <c r="G88" s="1" t="s">
        <v>42</v>
      </c>
      <c r="H88" s="1" t="s">
        <v>112</v>
      </c>
      <c r="I88" s="1" t="s">
        <v>1</v>
      </c>
      <c r="J88" s="1">
        <v>15</v>
      </c>
      <c r="K88" s="1">
        <f>J88*(IF(I88=ProdFam[[#Headers],[Test]],(VLOOKUP(Data[[#This Row],[Product Family]],ProdFam[],3,FALSE)),(VLOOKUP(Data[[#This Row],[Product Family]],ProdFam[],2,FALSE))))</f>
        <v>150</v>
      </c>
      <c r="L88" s="1">
        <v>120</v>
      </c>
      <c r="M88" s="1">
        <v>15</v>
      </c>
      <c r="N88" s="7">
        <f>IFERROR(Data[[#This Row],[Actual Time]]/Data[[#This Row],[QTY Complete]],"")</f>
        <v>8</v>
      </c>
      <c r="O88" s="7">
        <f>IF(I88=ProdFam[[#Headers],[Test]],(VLOOKUP(Data[[#This Row],[Product Family]],ProdFam[],3,FALSE)),(VLOOKUP(Data[[#This Row],[Product Family]],ProdFam[],2,FALSE)))</f>
        <v>10</v>
      </c>
    </row>
    <row r="89" spans="2:15" x14ac:dyDescent="0.25">
      <c r="B89" s="1">
        <f>WEEKNUM(Data[[#This Row],[Date]],1)</f>
        <v>42</v>
      </c>
      <c r="C89" s="1">
        <f>YEAR(Data[[#This Row],[Date]])</f>
        <v>2019</v>
      </c>
      <c r="D89" s="5">
        <v>43753</v>
      </c>
      <c r="E89" s="1" t="s">
        <v>119</v>
      </c>
      <c r="F89" s="1">
        <v>28506</v>
      </c>
      <c r="G89" s="1" t="s">
        <v>7</v>
      </c>
      <c r="H89" s="1" t="s">
        <v>115</v>
      </c>
      <c r="I89" s="1" t="s">
        <v>1</v>
      </c>
      <c r="J89" s="1">
        <v>3</v>
      </c>
      <c r="K89" s="1">
        <f>J89*(IF(I89=ProdFam[[#Headers],[Test]],(VLOOKUP(Data[[#This Row],[Product Family]],ProdFam[],3,FALSE)),(VLOOKUP(Data[[#This Row],[Product Family]],ProdFam[],2,FALSE))))</f>
        <v>72</v>
      </c>
      <c r="L89" s="1">
        <v>55</v>
      </c>
      <c r="M89" s="1">
        <v>3</v>
      </c>
      <c r="N89" s="7">
        <f>IFERROR(Data[[#This Row],[Actual Time]]/Data[[#This Row],[QTY Complete]],"")</f>
        <v>18.333333333333332</v>
      </c>
      <c r="O89" s="7">
        <f>IF(I89=ProdFam[[#Headers],[Test]],(VLOOKUP(Data[[#This Row],[Product Family]],ProdFam[],3,FALSE)),(VLOOKUP(Data[[#This Row],[Product Family]],ProdFam[],2,FALSE)))</f>
        <v>24</v>
      </c>
    </row>
    <row r="90" spans="2:15" x14ac:dyDescent="0.25">
      <c r="B90" s="1">
        <f>WEEKNUM(Data[[#This Row],[Date]],1)</f>
        <v>42</v>
      </c>
      <c r="C90" s="1">
        <f>YEAR(Data[[#This Row],[Date]])</f>
        <v>2019</v>
      </c>
      <c r="D90" s="5">
        <v>43753</v>
      </c>
      <c r="E90" s="1" t="s">
        <v>119</v>
      </c>
      <c r="F90" s="1">
        <v>28635</v>
      </c>
      <c r="G90" s="1" t="s">
        <v>43</v>
      </c>
      <c r="H90" s="1" t="s">
        <v>115</v>
      </c>
      <c r="I90" s="1" t="s">
        <v>1</v>
      </c>
      <c r="J90" s="1">
        <v>3</v>
      </c>
      <c r="K90" s="1">
        <f>J90*(IF(I90=ProdFam[[#Headers],[Test]],(VLOOKUP(Data[[#This Row],[Product Family]],ProdFam[],3,FALSE)),(VLOOKUP(Data[[#This Row],[Product Family]],ProdFam[],2,FALSE))))</f>
        <v>72</v>
      </c>
      <c r="L90" s="1">
        <v>80</v>
      </c>
      <c r="M90" s="1">
        <v>3</v>
      </c>
      <c r="N90" s="7">
        <f>IFERROR(Data[[#This Row],[Actual Time]]/Data[[#This Row],[QTY Complete]],"")</f>
        <v>26.666666666666668</v>
      </c>
      <c r="O90" s="7">
        <f>IF(I90=ProdFam[[#Headers],[Test]],(VLOOKUP(Data[[#This Row],[Product Family]],ProdFam[],3,FALSE)),(VLOOKUP(Data[[#This Row],[Product Family]],ProdFam[],2,FALSE)))</f>
        <v>24</v>
      </c>
    </row>
    <row r="91" spans="2:15" x14ac:dyDescent="0.25">
      <c r="B91" s="1">
        <f>WEEKNUM(Data[[#This Row],[Date]],1)</f>
        <v>42</v>
      </c>
      <c r="C91" s="1">
        <f>YEAR(Data[[#This Row],[Date]])</f>
        <v>2019</v>
      </c>
      <c r="D91" s="5">
        <v>43753</v>
      </c>
      <c r="E91" s="1" t="s">
        <v>119</v>
      </c>
      <c r="F91" s="1">
        <v>28523</v>
      </c>
      <c r="G91" s="1" t="s">
        <v>44</v>
      </c>
      <c r="H91" s="1" t="s">
        <v>113</v>
      </c>
      <c r="I91" s="1" t="s">
        <v>1</v>
      </c>
      <c r="J91" s="1">
        <v>10</v>
      </c>
      <c r="K91" s="1">
        <f>J91*(IF(I91=ProdFam[[#Headers],[Test]],(VLOOKUP(Data[[#This Row],[Product Family]],ProdFam[],3,FALSE)),(VLOOKUP(Data[[#This Row],[Product Family]],ProdFam[],2,FALSE))))</f>
        <v>320</v>
      </c>
      <c r="L91" s="1">
        <v>90</v>
      </c>
      <c r="M91" s="1">
        <v>0</v>
      </c>
      <c r="N91" s="7" t="str">
        <f>IFERROR(Data[[#This Row],[Actual Time]]/Data[[#This Row],[QTY Complete]],"")</f>
        <v/>
      </c>
      <c r="O91" s="7">
        <f>IF(I91=ProdFam[[#Headers],[Test]],(VLOOKUP(Data[[#This Row],[Product Family]],ProdFam[],3,FALSE)),(VLOOKUP(Data[[#This Row],[Product Family]],ProdFam[],2,FALSE)))</f>
        <v>32</v>
      </c>
    </row>
    <row r="92" spans="2:15" x14ac:dyDescent="0.25">
      <c r="B92" s="1">
        <f>WEEKNUM(Data[[#This Row],[Date]],1)</f>
        <v>42</v>
      </c>
      <c r="C92" s="1">
        <f>YEAR(Data[[#This Row],[Date]])</f>
        <v>2019</v>
      </c>
      <c r="D92" s="5">
        <v>43753</v>
      </c>
      <c r="E92" s="1" t="s">
        <v>119</v>
      </c>
      <c r="F92" s="1">
        <v>28391</v>
      </c>
      <c r="G92" s="1" t="s">
        <v>44</v>
      </c>
      <c r="H92" s="1" t="s">
        <v>113</v>
      </c>
      <c r="I92" s="1" t="s">
        <v>1</v>
      </c>
      <c r="J92" s="1">
        <v>3</v>
      </c>
      <c r="K92" s="1">
        <f>J92*(IF(I92=ProdFam[[#Headers],[Test]],(VLOOKUP(Data[[#This Row],[Product Family]],ProdFam[],3,FALSE)),(VLOOKUP(Data[[#This Row],[Product Family]],ProdFam[],2,FALSE))))</f>
        <v>96</v>
      </c>
      <c r="L92" s="1">
        <v>30</v>
      </c>
      <c r="M92" s="1">
        <v>0</v>
      </c>
      <c r="N92" s="7" t="str">
        <f>IFERROR(Data[[#This Row],[Actual Time]]/Data[[#This Row],[QTY Complete]],"")</f>
        <v/>
      </c>
      <c r="O92" s="7">
        <f>IF(I92=ProdFam[[#Headers],[Test]],(VLOOKUP(Data[[#This Row],[Product Family]],ProdFam[],3,FALSE)),(VLOOKUP(Data[[#This Row],[Product Family]],ProdFam[],2,FALSE)))</f>
        <v>32</v>
      </c>
    </row>
    <row r="93" spans="2:15" x14ac:dyDescent="0.25">
      <c r="B93" s="1">
        <f>WEEKNUM(Data[[#This Row],[Date]],1)</f>
        <v>42</v>
      </c>
      <c r="C93" s="1">
        <f>YEAR(Data[[#This Row],[Date]])</f>
        <v>2019</v>
      </c>
      <c r="D93" s="5">
        <v>43753</v>
      </c>
      <c r="E93" s="1" t="s">
        <v>118</v>
      </c>
      <c r="F93" s="1">
        <v>28480</v>
      </c>
      <c r="G93" s="1" t="s">
        <v>45</v>
      </c>
      <c r="H93" s="1" t="s">
        <v>113</v>
      </c>
      <c r="I93" s="1" t="s">
        <v>0</v>
      </c>
      <c r="J93" s="1">
        <v>4</v>
      </c>
      <c r="K93" s="1">
        <f>J93*(IF(I93=ProdFam[[#Headers],[Test]],(VLOOKUP(Data[[#This Row],[Product Family]],ProdFam[],3,FALSE)),(VLOOKUP(Data[[#This Row],[Product Family]],ProdFam[],2,FALSE))))</f>
        <v>188</v>
      </c>
      <c r="L93" s="1">
        <v>480</v>
      </c>
      <c r="M93" s="1">
        <v>0</v>
      </c>
      <c r="N93" s="7" t="str">
        <f>IFERROR(Data[[#This Row],[Actual Time]]/Data[[#This Row],[QTY Complete]],"")</f>
        <v/>
      </c>
      <c r="O93" s="7">
        <f>IF(I93=ProdFam[[#Headers],[Test]],(VLOOKUP(Data[[#This Row],[Product Family]],ProdFam[],3,FALSE)),(VLOOKUP(Data[[#This Row],[Product Family]],ProdFam[],2,FALSE)))</f>
        <v>47</v>
      </c>
    </row>
    <row r="94" spans="2:15" x14ac:dyDescent="0.25">
      <c r="B94" s="1">
        <f>WEEKNUM(Data[[#This Row],[Date]],1)</f>
        <v>42</v>
      </c>
      <c r="C94" s="1">
        <f>YEAR(Data[[#This Row],[Date]])</f>
        <v>2019</v>
      </c>
      <c r="D94" s="5">
        <v>43753</v>
      </c>
      <c r="E94" s="1" t="s">
        <v>122</v>
      </c>
      <c r="F94" s="1">
        <v>28465</v>
      </c>
      <c r="G94" s="1" t="s">
        <v>33</v>
      </c>
      <c r="H94" s="1" t="s">
        <v>123</v>
      </c>
      <c r="I94" s="1" t="s">
        <v>0</v>
      </c>
      <c r="J94" s="1">
        <v>8</v>
      </c>
      <c r="K94" s="1">
        <f>J94*(IF(I94=ProdFam[[#Headers],[Test]],(VLOOKUP(Data[[#This Row],[Product Family]],ProdFam[],3,FALSE)),(VLOOKUP(Data[[#This Row],[Product Family]],ProdFam[],2,FALSE))))</f>
        <v>720</v>
      </c>
      <c r="L94" s="1">
        <v>450</v>
      </c>
      <c r="M94" s="1">
        <v>0</v>
      </c>
      <c r="N94" s="7" t="str">
        <f>IFERROR(Data[[#This Row],[Actual Time]]/Data[[#This Row],[QTY Complete]],"")</f>
        <v/>
      </c>
      <c r="O94" s="7">
        <f>IF(I94=ProdFam[[#Headers],[Test]],(VLOOKUP(Data[[#This Row],[Product Family]],ProdFam[],3,FALSE)),(VLOOKUP(Data[[#This Row],[Product Family]],ProdFam[],2,FALSE)))</f>
        <v>90</v>
      </c>
    </row>
    <row r="95" spans="2:15" x14ac:dyDescent="0.25">
      <c r="B95" s="1">
        <f>WEEKNUM(Data[[#This Row],[Date]],1)</f>
        <v>42</v>
      </c>
      <c r="C95" s="1">
        <f>YEAR(Data[[#This Row],[Date]])</f>
        <v>2019</v>
      </c>
      <c r="D95" s="5">
        <v>43753</v>
      </c>
      <c r="E95" s="1" t="s">
        <v>114</v>
      </c>
      <c r="F95" s="1">
        <v>28624</v>
      </c>
      <c r="G95" s="1" t="s">
        <v>46</v>
      </c>
      <c r="H95" s="1" t="s">
        <v>113</v>
      </c>
      <c r="I95" s="1" t="s">
        <v>0</v>
      </c>
      <c r="J95" s="1">
        <v>3</v>
      </c>
      <c r="K95" s="1">
        <f>J95*(IF(I95=ProdFam[[#Headers],[Test]],(VLOOKUP(Data[[#This Row],[Product Family]],ProdFam[],3,FALSE)),(VLOOKUP(Data[[#This Row],[Product Family]],ProdFam[],2,FALSE))))</f>
        <v>141</v>
      </c>
      <c r="L95" s="1">
        <v>30</v>
      </c>
      <c r="M95" s="1">
        <v>0</v>
      </c>
      <c r="N95" s="7" t="str">
        <f>IFERROR(Data[[#This Row],[Actual Time]]/Data[[#This Row],[QTY Complete]],"")</f>
        <v/>
      </c>
      <c r="O95" s="7">
        <f>IF(I95=ProdFam[[#Headers],[Test]],(VLOOKUP(Data[[#This Row],[Product Family]],ProdFam[],3,FALSE)),(VLOOKUP(Data[[#This Row],[Product Family]],ProdFam[],2,FALSE)))</f>
        <v>47</v>
      </c>
    </row>
    <row r="96" spans="2:15" x14ac:dyDescent="0.25">
      <c r="B96" s="1">
        <f>WEEKNUM(Data[[#This Row],[Date]],1)</f>
        <v>42</v>
      </c>
      <c r="C96" s="1">
        <f>YEAR(Data[[#This Row],[Date]])</f>
        <v>2019</v>
      </c>
      <c r="D96" s="5">
        <v>43753</v>
      </c>
      <c r="E96" s="1" t="s">
        <v>114</v>
      </c>
      <c r="F96" s="1">
        <v>28325</v>
      </c>
      <c r="G96" s="1" t="s">
        <v>47</v>
      </c>
      <c r="H96" s="1" t="s">
        <v>113</v>
      </c>
      <c r="I96" s="1" t="s">
        <v>0</v>
      </c>
      <c r="J96" s="1">
        <v>4</v>
      </c>
      <c r="K96" s="1">
        <f>J96*(IF(I96=ProdFam[[#Headers],[Test]],(VLOOKUP(Data[[#This Row],[Product Family]],ProdFam[],3,FALSE)),(VLOOKUP(Data[[#This Row],[Product Family]],ProdFam[],2,FALSE))))</f>
        <v>188</v>
      </c>
      <c r="L96" s="1">
        <v>40</v>
      </c>
      <c r="M96" s="1">
        <v>0</v>
      </c>
      <c r="N96" s="7" t="str">
        <f>IFERROR(Data[[#This Row],[Actual Time]]/Data[[#This Row],[QTY Complete]],"")</f>
        <v/>
      </c>
      <c r="O96" s="7">
        <f>IF(I96=ProdFam[[#Headers],[Test]],(VLOOKUP(Data[[#This Row],[Product Family]],ProdFam[],3,FALSE)),(VLOOKUP(Data[[#This Row],[Product Family]],ProdFam[],2,FALSE)))</f>
        <v>47</v>
      </c>
    </row>
    <row r="97" spans="2:15" x14ac:dyDescent="0.25">
      <c r="B97" s="1">
        <f>WEEKNUM(Data[[#This Row],[Date]],1)</f>
        <v>42</v>
      </c>
      <c r="C97" s="1">
        <f>YEAR(Data[[#This Row],[Date]])</f>
        <v>2019</v>
      </c>
      <c r="D97" s="5">
        <v>43753</v>
      </c>
      <c r="E97" s="1" t="s">
        <v>114</v>
      </c>
      <c r="F97" s="1">
        <v>60862</v>
      </c>
      <c r="G97" s="1" t="s">
        <v>16</v>
      </c>
      <c r="H97" s="1" t="s">
        <v>162</v>
      </c>
      <c r="I97" s="1" t="s">
        <v>0</v>
      </c>
      <c r="J97" s="1">
        <v>8</v>
      </c>
      <c r="K97" s="1">
        <f>J97*(IF(I97=ProdFam[[#Headers],[Test]],(VLOOKUP(Data[[#This Row],[Product Family]],ProdFam[],3,FALSE)),(VLOOKUP(Data[[#This Row],[Product Family]],ProdFam[],2,FALSE))))</f>
        <v>80</v>
      </c>
      <c r="L97" s="1">
        <v>80</v>
      </c>
      <c r="M97" s="1">
        <v>0</v>
      </c>
      <c r="N97" s="7" t="str">
        <f>IFERROR(Data[[#This Row],[Actual Time]]/Data[[#This Row],[QTY Complete]],"")</f>
        <v/>
      </c>
      <c r="O97" s="7">
        <f>IF(I97=ProdFam[[#Headers],[Test]],(VLOOKUP(Data[[#This Row],[Product Family]],ProdFam[],3,FALSE)),(VLOOKUP(Data[[#This Row],[Product Family]],ProdFam[],2,FALSE)))</f>
        <v>10</v>
      </c>
    </row>
    <row r="98" spans="2:15" x14ac:dyDescent="0.25">
      <c r="B98" s="1">
        <f>WEEKNUM(Data[[#This Row],[Date]],1)</f>
        <v>42</v>
      </c>
      <c r="C98" s="1">
        <f>YEAR(Data[[#This Row],[Date]])</f>
        <v>2019</v>
      </c>
      <c r="D98" s="5">
        <v>43753</v>
      </c>
      <c r="E98" s="1" t="s">
        <v>114</v>
      </c>
      <c r="F98" s="1">
        <v>28545</v>
      </c>
      <c r="G98" s="1" t="s">
        <v>12</v>
      </c>
      <c r="H98" s="1" t="s">
        <v>116</v>
      </c>
      <c r="I98" s="1" t="s">
        <v>0</v>
      </c>
      <c r="J98" s="1">
        <v>10</v>
      </c>
      <c r="K98" s="1">
        <f>J98*(IF(I98=ProdFam[[#Headers],[Test]],(VLOOKUP(Data[[#This Row],[Product Family]],ProdFam[],3,FALSE)),(VLOOKUP(Data[[#This Row],[Product Family]],ProdFam[],2,FALSE))))</f>
        <v>50</v>
      </c>
      <c r="L98" s="1">
        <v>90</v>
      </c>
      <c r="M98" s="1">
        <v>0</v>
      </c>
      <c r="N98" s="7" t="str">
        <f>IFERROR(Data[[#This Row],[Actual Time]]/Data[[#This Row],[QTY Complete]],"")</f>
        <v/>
      </c>
      <c r="O98" s="7">
        <f>IF(I98=ProdFam[[#Headers],[Test]],(VLOOKUP(Data[[#This Row],[Product Family]],ProdFam[],3,FALSE)),(VLOOKUP(Data[[#This Row],[Product Family]],ProdFam[],2,FALSE)))</f>
        <v>5</v>
      </c>
    </row>
    <row r="99" spans="2:15" x14ac:dyDescent="0.25">
      <c r="B99" s="1">
        <f>WEEKNUM(Data[[#This Row],[Date]],1)</f>
        <v>42</v>
      </c>
      <c r="C99" s="1">
        <f>YEAR(Data[[#This Row],[Date]])</f>
        <v>2019</v>
      </c>
      <c r="D99" s="5">
        <v>43753</v>
      </c>
      <c r="E99" s="1" t="s">
        <v>114</v>
      </c>
      <c r="F99" s="1">
        <v>28505</v>
      </c>
      <c r="G99" s="1" t="s">
        <v>48</v>
      </c>
      <c r="H99" s="1" t="s">
        <v>112</v>
      </c>
      <c r="I99" s="1" t="s">
        <v>0</v>
      </c>
      <c r="J99" s="1">
        <v>9</v>
      </c>
      <c r="K99" s="1">
        <f>J99*(IF(I99=ProdFam[[#Headers],[Test]],(VLOOKUP(Data[[#This Row],[Product Family]],ProdFam[],3,FALSE)),(VLOOKUP(Data[[#This Row],[Product Family]],ProdFam[],2,FALSE))))</f>
        <v>90</v>
      </c>
      <c r="L99" s="1">
        <v>150</v>
      </c>
      <c r="M99" s="1">
        <v>0</v>
      </c>
      <c r="N99" s="7" t="str">
        <f>IFERROR(Data[[#This Row],[Actual Time]]/Data[[#This Row],[QTY Complete]],"")</f>
        <v/>
      </c>
      <c r="O99" s="7">
        <f>IF(I99=ProdFam[[#Headers],[Test]],(VLOOKUP(Data[[#This Row],[Product Family]],ProdFam[],3,FALSE)),(VLOOKUP(Data[[#This Row],[Product Family]],ProdFam[],2,FALSE)))</f>
        <v>10</v>
      </c>
    </row>
    <row r="100" spans="2:15" x14ac:dyDescent="0.25">
      <c r="B100" s="1">
        <f>WEEKNUM(Data[[#This Row],[Date]],1)</f>
        <v>42</v>
      </c>
      <c r="C100" s="1">
        <f>YEAR(Data[[#This Row],[Date]])</f>
        <v>2019</v>
      </c>
      <c r="D100" s="5">
        <v>43753</v>
      </c>
      <c r="E100" s="1" t="s">
        <v>114</v>
      </c>
      <c r="F100" s="1">
        <v>28472</v>
      </c>
      <c r="G100" s="1" t="s">
        <v>49</v>
      </c>
      <c r="H100" s="1" t="s">
        <v>112</v>
      </c>
      <c r="I100" s="1" t="s">
        <v>0</v>
      </c>
      <c r="J100" s="1">
        <v>12</v>
      </c>
      <c r="K100" s="1">
        <f>J100*(IF(I100=ProdFam[[#Headers],[Test]],(VLOOKUP(Data[[#This Row],[Product Family]],ProdFam[],3,FALSE)),(VLOOKUP(Data[[#This Row],[Product Family]],ProdFam[],2,FALSE))))</f>
        <v>120</v>
      </c>
      <c r="L100" s="1">
        <v>30</v>
      </c>
      <c r="M100" s="1">
        <v>0</v>
      </c>
      <c r="N100" s="7" t="str">
        <f>IFERROR(Data[[#This Row],[Actual Time]]/Data[[#This Row],[QTY Complete]],"")</f>
        <v/>
      </c>
      <c r="O100" s="7">
        <f>IF(I100=ProdFam[[#Headers],[Test]],(VLOOKUP(Data[[#This Row],[Product Family]],ProdFam[],3,FALSE)),(VLOOKUP(Data[[#This Row],[Product Family]],ProdFam[],2,FALSE)))</f>
        <v>10</v>
      </c>
    </row>
    <row r="101" spans="2:15" x14ac:dyDescent="0.25">
      <c r="B101" s="1">
        <f>WEEKNUM(Data[[#This Row],[Date]],1)</f>
        <v>42</v>
      </c>
      <c r="C101" s="1">
        <f>YEAR(Data[[#This Row],[Date]])</f>
        <v>2019</v>
      </c>
      <c r="D101" s="5">
        <v>43753</v>
      </c>
      <c r="E101" s="1" t="s">
        <v>114</v>
      </c>
      <c r="F101" s="1">
        <v>60915</v>
      </c>
      <c r="G101" s="1" t="s">
        <v>25</v>
      </c>
      <c r="H101" s="1" t="s">
        <v>162</v>
      </c>
      <c r="I101" s="1" t="s">
        <v>0</v>
      </c>
      <c r="J101" s="1">
        <v>1</v>
      </c>
      <c r="K101" s="1">
        <f>J101*(IF(I101=ProdFam[[#Headers],[Test]],(VLOOKUP(Data[[#This Row],[Product Family]],ProdFam[],3,FALSE)),(VLOOKUP(Data[[#This Row],[Product Family]],ProdFam[],2,FALSE))))</f>
        <v>10</v>
      </c>
      <c r="L101" s="1">
        <v>9</v>
      </c>
      <c r="M101" s="1">
        <v>0</v>
      </c>
      <c r="N101" s="7" t="str">
        <f>IFERROR(Data[[#This Row],[Actual Time]]/Data[[#This Row],[QTY Complete]],"")</f>
        <v/>
      </c>
      <c r="O101" s="7">
        <f>IF(I101=ProdFam[[#Headers],[Test]],(VLOOKUP(Data[[#This Row],[Product Family]],ProdFam[],3,FALSE)),(VLOOKUP(Data[[#This Row],[Product Family]],ProdFam[],2,FALSE)))</f>
        <v>10</v>
      </c>
    </row>
    <row r="102" spans="2:15" x14ac:dyDescent="0.25">
      <c r="B102" s="1">
        <f>WEEKNUM(Data[[#This Row],[Date]],1)</f>
        <v>42</v>
      </c>
      <c r="C102" s="1">
        <f>YEAR(Data[[#This Row],[Date]])</f>
        <v>2019</v>
      </c>
      <c r="D102" s="5">
        <v>43753</v>
      </c>
      <c r="E102" s="1" t="s">
        <v>114</v>
      </c>
      <c r="F102" s="1">
        <v>60792</v>
      </c>
      <c r="G102" s="1" t="s">
        <v>50</v>
      </c>
      <c r="H102" s="1" t="s">
        <v>162</v>
      </c>
      <c r="I102" s="1" t="s">
        <v>0</v>
      </c>
      <c r="J102" s="1">
        <v>2</v>
      </c>
      <c r="K102" s="1">
        <f>J102*(IF(I102=ProdFam[[#Headers],[Test]],(VLOOKUP(Data[[#This Row],[Product Family]],ProdFam[],3,FALSE)),(VLOOKUP(Data[[#This Row],[Product Family]],ProdFam[],2,FALSE))))</f>
        <v>20</v>
      </c>
      <c r="L102" s="1">
        <v>18</v>
      </c>
      <c r="M102" s="1">
        <v>0</v>
      </c>
      <c r="N102" s="7" t="str">
        <f>IFERROR(Data[[#This Row],[Actual Time]]/Data[[#This Row],[QTY Complete]],"")</f>
        <v/>
      </c>
      <c r="O102" s="7">
        <f>IF(I102=ProdFam[[#Headers],[Test]],(VLOOKUP(Data[[#This Row],[Product Family]],ProdFam[],3,FALSE)),(VLOOKUP(Data[[#This Row],[Product Family]],ProdFam[],2,FALSE)))</f>
        <v>10</v>
      </c>
    </row>
    <row r="103" spans="2:15" x14ac:dyDescent="0.25">
      <c r="B103" s="1">
        <f>WEEKNUM(Data[[#This Row],[Date]],1)</f>
        <v>42</v>
      </c>
      <c r="C103" s="1">
        <f>YEAR(Data[[#This Row],[Date]])</f>
        <v>2019</v>
      </c>
      <c r="D103" s="5">
        <v>43753</v>
      </c>
      <c r="E103" s="1" t="s">
        <v>114</v>
      </c>
      <c r="F103" s="1">
        <v>60830</v>
      </c>
      <c r="G103" s="1" t="s">
        <v>17</v>
      </c>
      <c r="H103" s="1" t="s">
        <v>162</v>
      </c>
      <c r="I103" s="1" t="s">
        <v>0</v>
      </c>
      <c r="J103" s="1">
        <v>1</v>
      </c>
      <c r="K103" s="1">
        <f>J103*(IF(I103=ProdFam[[#Headers],[Test]],(VLOOKUP(Data[[#This Row],[Product Family]],ProdFam[],3,FALSE)),(VLOOKUP(Data[[#This Row],[Product Family]],ProdFam[],2,FALSE))))</f>
        <v>10</v>
      </c>
      <c r="L103" s="1">
        <v>9</v>
      </c>
      <c r="M103" s="1">
        <v>0</v>
      </c>
      <c r="N103" s="7" t="str">
        <f>IFERROR(Data[[#This Row],[Actual Time]]/Data[[#This Row],[QTY Complete]],"")</f>
        <v/>
      </c>
      <c r="O103" s="7">
        <f>IF(I103=ProdFam[[#Headers],[Test]],(VLOOKUP(Data[[#This Row],[Product Family]],ProdFam[],3,FALSE)),(VLOOKUP(Data[[#This Row],[Product Family]],ProdFam[],2,FALSE)))</f>
        <v>10</v>
      </c>
    </row>
    <row r="104" spans="2:15" x14ac:dyDescent="0.25">
      <c r="B104" s="1">
        <f>WEEKNUM(Data[[#This Row],[Date]],1)</f>
        <v>42</v>
      </c>
      <c r="C104" s="1">
        <f>YEAR(Data[[#This Row],[Date]])</f>
        <v>2019</v>
      </c>
      <c r="D104" s="5">
        <v>43753</v>
      </c>
      <c r="E104" s="1" t="s">
        <v>114</v>
      </c>
      <c r="F104" s="1">
        <v>60851</v>
      </c>
      <c r="G104" s="1" t="s">
        <v>25</v>
      </c>
      <c r="H104" s="1" t="s">
        <v>162</v>
      </c>
      <c r="I104" s="1" t="s">
        <v>0</v>
      </c>
      <c r="J104" s="1">
        <v>2</v>
      </c>
      <c r="K104" s="1">
        <f>J104*(IF(I104=ProdFam[[#Headers],[Test]],(VLOOKUP(Data[[#This Row],[Product Family]],ProdFam[],3,FALSE)),(VLOOKUP(Data[[#This Row],[Product Family]],ProdFam[],2,FALSE))))</f>
        <v>20</v>
      </c>
      <c r="L104" s="1">
        <v>18</v>
      </c>
      <c r="M104" s="1">
        <v>0</v>
      </c>
      <c r="N104" s="7" t="str">
        <f>IFERROR(Data[[#This Row],[Actual Time]]/Data[[#This Row],[QTY Complete]],"")</f>
        <v/>
      </c>
      <c r="O104" s="7">
        <f>IF(I104=ProdFam[[#Headers],[Test]],(VLOOKUP(Data[[#This Row],[Product Family]],ProdFam[],3,FALSE)),(VLOOKUP(Data[[#This Row],[Product Family]],ProdFam[],2,FALSE)))</f>
        <v>10</v>
      </c>
    </row>
    <row r="105" spans="2:15" x14ac:dyDescent="0.25">
      <c r="B105" s="1">
        <f>WEEKNUM(Data[[#This Row],[Date]],1)</f>
        <v>42</v>
      </c>
      <c r="C105" s="1">
        <f>YEAR(Data[[#This Row],[Date]])</f>
        <v>2019</v>
      </c>
      <c r="D105" s="5">
        <v>43753</v>
      </c>
      <c r="E105" s="1" t="s">
        <v>114</v>
      </c>
      <c r="F105" s="1">
        <v>60822</v>
      </c>
      <c r="G105" s="1" t="s">
        <v>25</v>
      </c>
      <c r="H105" s="1" t="s">
        <v>162</v>
      </c>
      <c r="I105" s="1" t="s">
        <v>0</v>
      </c>
      <c r="J105" s="1">
        <v>1</v>
      </c>
      <c r="K105" s="1">
        <f>J105*(IF(I105=ProdFam[[#Headers],[Test]],(VLOOKUP(Data[[#This Row],[Product Family]],ProdFam[],3,FALSE)),(VLOOKUP(Data[[#This Row],[Product Family]],ProdFam[],2,FALSE))))</f>
        <v>10</v>
      </c>
      <c r="L105" s="1">
        <v>9</v>
      </c>
      <c r="M105" s="1">
        <v>0</v>
      </c>
      <c r="N105" s="7" t="str">
        <f>IFERROR(Data[[#This Row],[Actual Time]]/Data[[#This Row],[QTY Complete]],"")</f>
        <v/>
      </c>
      <c r="O105" s="7">
        <f>IF(I105=ProdFam[[#Headers],[Test]],(VLOOKUP(Data[[#This Row],[Product Family]],ProdFam[],3,FALSE)),(VLOOKUP(Data[[#This Row],[Product Family]],ProdFam[],2,FALSE)))</f>
        <v>10</v>
      </c>
    </row>
    <row r="106" spans="2:15" x14ac:dyDescent="0.25">
      <c r="B106" s="1">
        <f>WEEKNUM(Data[[#This Row],[Date]],1)</f>
        <v>42</v>
      </c>
      <c r="C106" s="1">
        <f>YEAR(Data[[#This Row],[Date]])</f>
        <v>2019</v>
      </c>
      <c r="D106" s="5">
        <v>43753</v>
      </c>
      <c r="E106" s="1" t="s">
        <v>114</v>
      </c>
      <c r="F106" s="1">
        <v>28538</v>
      </c>
      <c r="G106" s="1" t="s">
        <v>10</v>
      </c>
      <c r="H106" s="1" t="s">
        <v>113</v>
      </c>
      <c r="I106" s="1" t="s">
        <v>0</v>
      </c>
      <c r="J106" s="1">
        <v>6</v>
      </c>
      <c r="K106" s="1">
        <f>J106*(IF(I106=ProdFam[[#Headers],[Test]],(VLOOKUP(Data[[#This Row],[Product Family]],ProdFam[],3,FALSE)),(VLOOKUP(Data[[#This Row],[Product Family]],ProdFam[],2,FALSE))))</f>
        <v>282</v>
      </c>
      <c r="L106" s="1">
        <v>54</v>
      </c>
      <c r="M106" s="1">
        <v>0</v>
      </c>
      <c r="N106" s="7" t="str">
        <f>IFERROR(Data[[#This Row],[Actual Time]]/Data[[#This Row],[QTY Complete]],"")</f>
        <v/>
      </c>
      <c r="O106" s="7">
        <f>IF(I106=ProdFam[[#Headers],[Test]],(VLOOKUP(Data[[#This Row],[Product Family]],ProdFam[],3,FALSE)),(VLOOKUP(Data[[#This Row],[Product Family]],ProdFam[],2,FALSE)))</f>
        <v>47</v>
      </c>
    </row>
    <row r="107" spans="2:15" x14ac:dyDescent="0.25">
      <c r="B107" s="1">
        <f>WEEKNUM(Data[[#This Row],[Date]],1)</f>
        <v>42</v>
      </c>
      <c r="C107" s="1">
        <f>YEAR(Data[[#This Row],[Date]])</f>
        <v>2019</v>
      </c>
      <c r="D107" s="5">
        <v>43753</v>
      </c>
      <c r="E107" s="1" t="s">
        <v>117</v>
      </c>
      <c r="F107" s="1">
        <v>28569</v>
      </c>
      <c r="G107" s="1" t="s">
        <v>27</v>
      </c>
      <c r="H107" s="1" t="s">
        <v>113</v>
      </c>
      <c r="I107" s="1" t="s">
        <v>1</v>
      </c>
      <c r="J107" s="1">
        <v>2</v>
      </c>
      <c r="K107" s="1">
        <f>J107*(IF(I107=ProdFam[[#Headers],[Test]],(VLOOKUP(Data[[#This Row],[Product Family]],ProdFam[],3,FALSE)),(VLOOKUP(Data[[#This Row],[Product Family]],ProdFam[],2,FALSE))))</f>
        <v>64</v>
      </c>
      <c r="L107" s="1">
        <v>30</v>
      </c>
      <c r="M107" s="1">
        <v>2</v>
      </c>
      <c r="N107" s="7">
        <f>IFERROR(Data[[#This Row],[Actual Time]]/Data[[#This Row],[QTY Complete]],"")</f>
        <v>15</v>
      </c>
      <c r="O107" s="7">
        <f>IF(I107=ProdFam[[#Headers],[Test]],(VLOOKUP(Data[[#This Row],[Product Family]],ProdFam[],3,FALSE)),(VLOOKUP(Data[[#This Row],[Product Family]],ProdFam[],2,FALSE)))</f>
        <v>32</v>
      </c>
    </row>
    <row r="108" spans="2:15" x14ac:dyDescent="0.25">
      <c r="B108" s="1">
        <f>WEEKNUM(Data[[#This Row],[Date]],1)</f>
        <v>42</v>
      </c>
      <c r="C108" s="1">
        <f>YEAR(Data[[#This Row],[Date]])</f>
        <v>2019</v>
      </c>
      <c r="D108" s="5">
        <v>43753</v>
      </c>
      <c r="E108" s="1" t="s">
        <v>117</v>
      </c>
      <c r="F108" s="1">
        <v>28521</v>
      </c>
      <c r="G108" s="1" t="s">
        <v>34</v>
      </c>
      <c r="H108" s="1" t="s">
        <v>113</v>
      </c>
      <c r="I108" s="1" t="s">
        <v>1</v>
      </c>
      <c r="J108" s="1">
        <v>1</v>
      </c>
      <c r="K108" s="1">
        <f>J108*(IF(I108=ProdFam[[#Headers],[Test]],(VLOOKUP(Data[[#This Row],[Product Family]],ProdFam[],3,FALSE)),(VLOOKUP(Data[[#This Row],[Product Family]],ProdFam[],2,FALSE))))</f>
        <v>32</v>
      </c>
      <c r="L108" s="1">
        <v>20</v>
      </c>
      <c r="M108" s="1">
        <v>1</v>
      </c>
      <c r="N108" s="7">
        <f>IFERROR(Data[[#This Row],[Actual Time]]/Data[[#This Row],[QTY Complete]],"")</f>
        <v>20</v>
      </c>
      <c r="O108" s="7">
        <f>IF(I108=ProdFam[[#Headers],[Test]],(VLOOKUP(Data[[#This Row],[Product Family]],ProdFam[],3,FALSE)),(VLOOKUP(Data[[#This Row],[Product Family]],ProdFam[],2,FALSE)))</f>
        <v>32</v>
      </c>
    </row>
    <row r="109" spans="2:15" x14ac:dyDescent="0.25">
      <c r="B109" s="1">
        <f>WEEKNUM(Data[[#This Row],[Date]],1)</f>
        <v>42</v>
      </c>
      <c r="C109" s="1">
        <f>YEAR(Data[[#This Row],[Date]])</f>
        <v>2019</v>
      </c>
      <c r="D109" s="5">
        <v>43753</v>
      </c>
      <c r="E109" s="1" t="s">
        <v>117</v>
      </c>
      <c r="F109" s="1">
        <v>28481</v>
      </c>
      <c r="G109" s="1" t="s">
        <v>19</v>
      </c>
      <c r="H109" s="1" t="s">
        <v>113</v>
      </c>
      <c r="I109" s="1" t="s">
        <v>1</v>
      </c>
      <c r="J109" s="1">
        <v>3</v>
      </c>
      <c r="K109" s="1">
        <f>J109*(IF(I109=ProdFam[[#Headers],[Test]],(VLOOKUP(Data[[#This Row],[Product Family]],ProdFam[],3,FALSE)),(VLOOKUP(Data[[#This Row],[Product Family]],ProdFam[],2,FALSE))))</f>
        <v>96</v>
      </c>
      <c r="L109" s="1">
        <v>45</v>
      </c>
      <c r="M109" s="1">
        <v>3</v>
      </c>
      <c r="N109" s="7">
        <f>IFERROR(Data[[#This Row],[Actual Time]]/Data[[#This Row],[QTY Complete]],"")</f>
        <v>15</v>
      </c>
      <c r="O109" s="7">
        <f>IF(I109=ProdFam[[#Headers],[Test]],(VLOOKUP(Data[[#This Row],[Product Family]],ProdFam[],3,FALSE)),(VLOOKUP(Data[[#This Row],[Product Family]],ProdFam[],2,FALSE)))</f>
        <v>32</v>
      </c>
    </row>
    <row r="110" spans="2:15" x14ac:dyDescent="0.25">
      <c r="B110" s="1">
        <f>WEEKNUM(Data[[#This Row],[Date]],1)</f>
        <v>42</v>
      </c>
      <c r="C110" s="1">
        <f>YEAR(Data[[#This Row],[Date]])</f>
        <v>2019</v>
      </c>
      <c r="D110" s="5">
        <v>43753</v>
      </c>
      <c r="E110" s="1" t="s">
        <v>117</v>
      </c>
      <c r="F110" s="1">
        <v>28572</v>
      </c>
      <c r="G110" s="1" t="s">
        <v>38</v>
      </c>
      <c r="H110" s="1" t="s">
        <v>115</v>
      </c>
      <c r="I110" s="1" t="s">
        <v>1</v>
      </c>
      <c r="J110" s="1">
        <v>10</v>
      </c>
      <c r="K110" s="1">
        <f>J110*(IF(I110=ProdFam[[#Headers],[Test]],(VLOOKUP(Data[[#This Row],[Product Family]],ProdFam[],3,FALSE)),(VLOOKUP(Data[[#This Row],[Product Family]],ProdFam[],2,FALSE))))</f>
        <v>240</v>
      </c>
      <c r="L110" s="1">
        <v>225</v>
      </c>
      <c r="M110" s="1">
        <v>9</v>
      </c>
      <c r="N110" s="7">
        <f>IFERROR(Data[[#This Row],[Actual Time]]/Data[[#This Row],[QTY Complete]],"")</f>
        <v>25</v>
      </c>
      <c r="O110" s="7">
        <f>IF(I110=ProdFam[[#Headers],[Test]],(VLOOKUP(Data[[#This Row],[Product Family]],ProdFam[],3,FALSE)),(VLOOKUP(Data[[#This Row],[Product Family]],ProdFam[],2,FALSE)))</f>
        <v>24</v>
      </c>
    </row>
    <row r="111" spans="2:15" x14ac:dyDescent="0.25">
      <c r="B111" s="1">
        <f>WEEKNUM(Data[[#This Row],[Date]],1)</f>
        <v>42</v>
      </c>
      <c r="C111" s="1">
        <f>YEAR(Data[[#This Row],[Date]])</f>
        <v>2019</v>
      </c>
      <c r="D111" s="5">
        <v>43754</v>
      </c>
      <c r="E111" s="1" t="s">
        <v>111</v>
      </c>
      <c r="F111" s="1">
        <v>28505</v>
      </c>
      <c r="G111" s="1" t="s">
        <v>48</v>
      </c>
      <c r="H111" s="1" t="s">
        <v>112</v>
      </c>
      <c r="I111" s="1" t="s">
        <v>1</v>
      </c>
      <c r="J111" s="1">
        <v>9</v>
      </c>
      <c r="K111" s="1">
        <f>J111*(IF(I111=ProdFam[[#Headers],[Test]],(VLOOKUP(Data[[#This Row],[Product Family]],ProdFam[],3,FALSE)),(VLOOKUP(Data[[#This Row],[Product Family]],ProdFam[],2,FALSE))))</f>
        <v>90</v>
      </c>
      <c r="L111" s="1">
        <v>135</v>
      </c>
      <c r="M111" s="1">
        <v>9</v>
      </c>
      <c r="N111" s="7">
        <f>IFERROR(Data[[#This Row],[Actual Time]]/Data[[#This Row],[QTY Complete]],"")</f>
        <v>15</v>
      </c>
      <c r="O111" s="7">
        <f>IF(I111=ProdFam[[#Headers],[Test]],(VLOOKUP(Data[[#This Row],[Product Family]],ProdFam[],3,FALSE)),(VLOOKUP(Data[[#This Row],[Product Family]],ProdFam[],2,FALSE)))</f>
        <v>10</v>
      </c>
    </row>
    <row r="112" spans="2:15" x14ac:dyDescent="0.25">
      <c r="B112" s="1">
        <f>WEEKNUM(Data[[#This Row],[Date]],1)</f>
        <v>42</v>
      </c>
      <c r="C112" s="1">
        <f>YEAR(Data[[#This Row],[Date]])</f>
        <v>2019</v>
      </c>
      <c r="D112" s="5">
        <v>43754</v>
      </c>
      <c r="E112" s="1" t="s">
        <v>111</v>
      </c>
      <c r="F112" s="1">
        <v>28472</v>
      </c>
      <c r="G112" s="1" t="s">
        <v>49</v>
      </c>
      <c r="H112" s="1" t="s">
        <v>112</v>
      </c>
      <c r="I112" s="1" t="s">
        <v>0</v>
      </c>
      <c r="J112" s="1">
        <v>12</v>
      </c>
      <c r="K112" s="1">
        <f>J112*(IF(I112=ProdFam[[#Headers],[Test]],(VLOOKUP(Data[[#This Row],[Product Family]],ProdFam[],3,FALSE)),(VLOOKUP(Data[[#This Row],[Product Family]],ProdFam[],2,FALSE))))</f>
        <v>120</v>
      </c>
      <c r="L112" s="1">
        <v>60</v>
      </c>
      <c r="M112" s="1">
        <v>12</v>
      </c>
      <c r="N112" s="7">
        <f>IFERROR(Data[[#This Row],[Actual Time]]/Data[[#This Row],[QTY Complete]],"")</f>
        <v>5</v>
      </c>
      <c r="O112" s="7">
        <f>IF(I112=ProdFam[[#Headers],[Test]],(VLOOKUP(Data[[#This Row],[Product Family]],ProdFam[],3,FALSE)),(VLOOKUP(Data[[#This Row],[Product Family]],ProdFam[],2,FALSE)))</f>
        <v>10</v>
      </c>
    </row>
    <row r="113" spans="2:15" x14ac:dyDescent="0.25">
      <c r="B113" s="1">
        <f>WEEKNUM(Data[[#This Row],[Date]],1)</f>
        <v>42</v>
      </c>
      <c r="C113" s="1">
        <f>YEAR(Data[[#This Row],[Date]])</f>
        <v>2019</v>
      </c>
      <c r="D113" s="5">
        <v>43754</v>
      </c>
      <c r="E113" s="1" t="s">
        <v>111</v>
      </c>
      <c r="F113" s="1">
        <v>28600</v>
      </c>
      <c r="G113" s="1" t="s">
        <v>51</v>
      </c>
      <c r="H113" s="1" t="s">
        <v>113</v>
      </c>
      <c r="I113" s="1" t="s">
        <v>1</v>
      </c>
      <c r="J113" s="1">
        <v>8</v>
      </c>
      <c r="K113" s="1">
        <f>J113*(IF(I113=ProdFam[[#Headers],[Test]],(VLOOKUP(Data[[#This Row],[Product Family]],ProdFam[],3,FALSE)),(VLOOKUP(Data[[#This Row],[Product Family]],ProdFam[],2,FALSE))))</f>
        <v>256</v>
      </c>
      <c r="L113" s="1">
        <v>90</v>
      </c>
      <c r="M113" s="1">
        <v>0</v>
      </c>
      <c r="N113" s="7" t="str">
        <f>IFERROR(Data[[#This Row],[Actual Time]]/Data[[#This Row],[QTY Complete]],"")</f>
        <v/>
      </c>
      <c r="O113" s="7">
        <f>IF(I113=ProdFam[[#Headers],[Test]],(VLOOKUP(Data[[#This Row],[Product Family]],ProdFam[],3,FALSE)),(VLOOKUP(Data[[#This Row],[Product Family]],ProdFam[],2,FALSE)))</f>
        <v>32</v>
      </c>
    </row>
    <row r="114" spans="2:15" x14ac:dyDescent="0.25">
      <c r="B114" s="1">
        <f>WEEKNUM(Data[[#This Row],[Date]],1)</f>
        <v>42</v>
      </c>
      <c r="C114" s="1">
        <f>YEAR(Data[[#This Row],[Date]])</f>
        <v>2019</v>
      </c>
      <c r="D114" s="5">
        <v>43754</v>
      </c>
      <c r="E114" s="1" t="s">
        <v>119</v>
      </c>
      <c r="F114" s="1">
        <v>28523</v>
      </c>
      <c r="G114" s="1" t="s">
        <v>44</v>
      </c>
      <c r="H114" s="1" t="s">
        <v>113</v>
      </c>
      <c r="I114" s="1" t="s">
        <v>0</v>
      </c>
      <c r="J114" s="1">
        <v>13</v>
      </c>
      <c r="K114" s="1">
        <f>J114*(IF(I114=ProdFam[[#Headers],[Test]],(VLOOKUP(Data[[#This Row],[Product Family]],ProdFam[],3,FALSE)),(VLOOKUP(Data[[#This Row],[Product Family]],ProdFam[],2,FALSE))))</f>
        <v>611</v>
      </c>
      <c r="L114" s="1">
        <v>390</v>
      </c>
      <c r="M114" s="1">
        <v>13</v>
      </c>
      <c r="N114" s="7">
        <f>IFERROR(Data[[#This Row],[Actual Time]]/Data[[#This Row],[QTY Complete]],"")</f>
        <v>30</v>
      </c>
      <c r="O114" s="7">
        <f>IF(I114=ProdFam[[#Headers],[Test]],(VLOOKUP(Data[[#This Row],[Product Family]],ProdFam[],3,FALSE)),(VLOOKUP(Data[[#This Row],[Product Family]],ProdFam[],2,FALSE)))</f>
        <v>47</v>
      </c>
    </row>
    <row r="115" spans="2:15" x14ac:dyDescent="0.25">
      <c r="B115" s="1">
        <f>WEEKNUM(Data[[#This Row],[Date]],1)</f>
        <v>42</v>
      </c>
      <c r="C115" s="1">
        <f>YEAR(Data[[#This Row],[Date]])</f>
        <v>2019</v>
      </c>
      <c r="D115" s="5">
        <v>43754</v>
      </c>
      <c r="E115" s="1" t="s">
        <v>119</v>
      </c>
      <c r="F115" s="1">
        <v>28542</v>
      </c>
      <c r="G115" s="1" t="s">
        <v>28</v>
      </c>
      <c r="H115" s="1" t="s">
        <v>113</v>
      </c>
      <c r="I115" s="1" t="s">
        <v>0</v>
      </c>
      <c r="J115" s="1">
        <v>8</v>
      </c>
      <c r="K115" s="1">
        <f>J115*(IF(I115=ProdFam[[#Headers],[Test]],(VLOOKUP(Data[[#This Row],[Product Family]],ProdFam[],3,FALSE)),(VLOOKUP(Data[[#This Row],[Product Family]],ProdFam[],2,FALSE))))</f>
        <v>376</v>
      </c>
      <c r="L115" s="1">
        <v>70</v>
      </c>
      <c r="M115" s="1">
        <v>0</v>
      </c>
      <c r="N115" s="7" t="str">
        <f>IFERROR(Data[[#This Row],[Actual Time]]/Data[[#This Row],[QTY Complete]],"")</f>
        <v/>
      </c>
      <c r="O115" s="7">
        <f>IF(I115=ProdFam[[#Headers],[Test]],(VLOOKUP(Data[[#This Row],[Product Family]],ProdFam[],3,FALSE)),(VLOOKUP(Data[[#This Row],[Product Family]],ProdFam[],2,FALSE)))</f>
        <v>47</v>
      </c>
    </row>
    <row r="116" spans="2:15" x14ac:dyDescent="0.25">
      <c r="B116" s="1">
        <f>WEEKNUM(Data[[#This Row],[Date]],1)</f>
        <v>42</v>
      </c>
      <c r="C116" s="1">
        <f>YEAR(Data[[#This Row],[Date]])</f>
        <v>2019</v>
      </c>
      <c r="D116" s="5">
        <v>43754</v>
      </c>
      <c r="E116" s="1" t="s">
        <v>117</v>
      </c>
      <c r="F116" s="1">
        <v>28480</v>
      </c>
      <c r="G116" s="1" t="s">
        <v>45</v>
      </c>
      <c r="H116" s="1" t="s">
        <v>113</v>
      </c>
      <c r="I116" s="1" t="s">
        <v>1</v>
      </c>
      <c r="J116" s="1">
        <v>4</v>
      </c>
      <c r="K116" s="1">
        <f>J116*(IF(I116=ProdFam[[#Headers],[Test]],(VLOOKUP(Data[[#This Row],[Product Family]],ProdFam[],3,FALSE)),(VLOOKUP(Data[[#This Row],[Product Family]],ProdFam[],2,FALSE))))</f>
        <v>128</v>
      </c>
      <c r="L116" s="1">
        <v>113</v>
      </c>
      <c r="M116" s="1">
        <v>0</v>
      </c>
      <c r="N116" s="7" t="str">
        <f>IFERROR(Data[[#This Row],[Actual Time]]/Data[[#This Row],[QTY Complete]],"")</f>
        <v/>
      </c>
      <c r="O116" s="7">
        <f>IF(I116=ProdFam[[#Headers],[Test]],(VLOOKUP(Data[[#This Row],[Product Family]],ProdFam[],3,FALSE)),(VLOOKUP(Data[[#This Row],[Product Family]],ProdFam[],2,FALSE)))</f>
        <v>32</v>
      </c>
    </row>
    <row r="117" spans="2:15" x14ac:dyDescent="0.25">
      <c r="B117" s="1">
        <f>WEEKNUM(Data[[#This Row],[Date]],1)</f>
        <v>42</v>
      </c>
      <c r="C117" s="1">
        <f>YEAR(Data[[#This Row],[Date]])</f>
        <v>2019</v>
      </c>
      <c r="D117" s="5">
        <v>43754</v>
      </c>
      <c r="E117" s="1" t="s">
        <v>117</v>
      </c>
      <c r="F117" s="1">
        <v>28542</v>
      </c>
      <c r="G117" s="1" t="s">
        <v>28</v>
      </c>
      <c r="H117" s="1" t="s">
        <v>113</v>
      </c>
      <c r="I117" s="1" t="s">
        <v>1</v>
      </c>
      <c r="J117" s="1">
        <v>3</v>
      </c>
      <c r="K117" s="1">
        <f>J117*(IF(I117=ProdFam[[#Headers],[Test]],(VLOOKUP(Data[[#This Row],[Product Family]],ProdFam[],3,FALSE)),(VLOOKUP(Data[[#This Row],[Product Family]],ProdFam[],2,FALSE))))</f>
        <v>96</v>
      </c>
      <c r="L117" s="1">
        <v>95</v>
      </c>
      <c r="M117" s="1">
        <v>3</v>
      </c>
      <c r="N117" s="7">
        <f>IFERROR(Data[[#This Row],[Actual Time]]/Data[[#This Row],[QTY Complete]],"")</f>
        <v>31.666666666666668</v>
      </c>
      <c r="O117" s="7">
        <f>IF(I117=ProdFam[[#Headers],[Test]],(VLOOKUP(Data[[#This Row],[Product Family]],ProdFam[],3,FALSE)),(VLOOKUP(Data[[#This Row],[Product Family]],ProdFam[],2,FALSE)))</f>
        <v>32</v>
      </c>
    </row>
    <row r="118" spans="2:15" x14ac:dyDescent="0.25">
      <c r="B118" s="1">
        <f>WEEKNUM(Data[[#This Row],[Date]],1)</f>
        <v>42</v>
      </c>
      <c r="C118" s="1">
        <f>YEAR(Data[[#This Row],[Date]])</f>
        <v>2019</v>
      </c>
      <c r="D118" s="5">
        <v>43754</v>
      </c>
      <c r="E118" s="1" t="s">
        <v>114</v>
      </c>
      <c r="F118" s="1">
        <v>28545</v>
      </c>
      <c r="G118" s="1" t="s">
        <v>12</v>
      </c>
      <c r="H118" s="1" t="s">
        <v>116</v>
      </c>
      <c r="I118" s="1" t="s">
        <v>0</v>
      </c>
      <c r="J118" s="1">
        <v>10</v>
      </c>
      <c r="K118" s="1">
        <f>J118*(IF(I118=ProdFam[[#Headers],[Test]],(VLOOKUP(Data[[#This Row],[Product Family]],ProdFam[],3,FALSE)),(VLOOKUP(Data[[#This Row],[Product Family]],ProdFam[],2,FALSE))))</f>
        <v>50</v>
      </c>
      <c r="L118" s="1">
        <v>100</v>
      </c>
      <c r="M118" s="1">
        <v>10</v>
      </c>
      <c r="N118" s="7">
        <f>IFERROR(Data[[#This Row],[Actual Time]]/Data[[#This Row],[QTY Complete]],"")</f>
        <v>10</v>
      </c>
      <c r="O118" s="7">
        <f>IF(I118=ProdFam[[#Headers],[Test]],(VLOOKUP(Data[[#This Row],[Product Family]],ProdFam[],3,FALSE)),(VLOOKUP(Data[[#This Row],[Product Family]],ProdFam[],2,FALSE)))</f>
        <v>5</v>
      </c>
    </row>
    <row r="119" spans="2:15" x14ac:dyDescent="0.25">
      <c r="B119" s="1">
        <f>WEEKNUM(Data[[#This Row],[Date]],1)</f>
        <v>42</v>
      </c>
      <c r="C119" s="1">
        <f>YEAR(Data[[#This Row],[Date]])</f>
        <v>2019</v>
      </c>
      <c r="D119" s="5">
        <v>43754</v>
      </c>
      <c r="E119" s="1" t="s">
        <v>114</v>
      </c>
      <c r="F119" s="1">
        <v>28567</v>
      </c>
      <c r="G119" s="1" t="s">
        <v>52</v>
      </c>
      <c r="H119" s="1" t="s">
        <v>112</v>
      </c>
      <c r="I119" s="1" t="s">
        <v>0</v>
      </c>
      <c r="J119" s="1">
        <v>6</v>
      </c>
      <c r="K119" s="1">
        <f>J119*(IF(I119=ProdFam[[#Headers],[Test]],(VLOOKUP(Data[[#This Row],[Product Family]],ProdFam[],3,FALSE)),(VLOOKUP(Data[[#This Row],[Product Family]],ProdFam[],2,FALSE))))</f>
        <v>60</v>
      </c>
      <c r="L119" s="1">
        <v>80</v>
      </c>
      <c r="M119" s="1">
        <v>0</v>
      </c>
      <c r="N119" s="7" t="str">
        <f>IFERROR(Data[[#This Row],[Actual Time]]/Data[[#This Row],[QTY Complete]],"")</f>
        <v/>
      </c>
      <c r="O119" s="7">
        <f>IF(I119=ProdFam[[#Headers],[Test]],(VLOOKUP(Data[[#This Row],[Product Family]],ProdFam[],3,FALSE)),(VLOOKUP(Data[[#This Row],[Product Family]],ProdFam[],2,FALSE)))</f>
        <v>10</v>
      </c>
    </row>
    <row r="120" spans="2:15" x14ac:dyDescent="0.25">
      <c r="B120" s="1">
        <f>WEEKNUM(Data[[#This Row],[Date]],1)</f>
        <v>42</v>
      </c>
      <c r="C120" s="1">
        <f>YEAR(Data[[#This Row],[Date]])</f>
        <v>2019</v>
      </c>
      <c r="D120" s="5">
        <v>43754</v>
      </c>
      <c r="E120" s="1" t="s">
        <v>114</v>
      </c>
      <c r="F120" s="1">
        <v>60674</v>
      </c>
      <c r="G120" s="1" t="s">
        <v>28</v>
      </c>
      <c r="H120" s="1" t="s">
        <v>162</v>
      </c>
      <c r="I120" s="1" t="s">
        <v>0</v>
      </c>
      <c r="J120" s="1">
        <v>2</v>
      </c>
      <c r="K120" s="1">
        <f>J120*(IF(I120=ProdFam[[#Headers],[Test]],(VLOOKUP(Data[[#This Row],[Product Family]],ProdFam[],3,FALSE)),(VLOOKUP(Data[[#This Row],[Product Family]],ProdFam[],2,FALSE))))</f>
        <v>20</v>
      </c>
      <c r="L120" s="1">
        <v>8</v>
      </c>
      <c r="M120" s="1">
        <v>0</v>
      </c>
      <c r="N120" s="7" t="str">
        <f>IFERROR(Data[[#This Row],[Actual Time]]/Data[[#This Row],[QTY Complete]],"")</f>
        <v/>
      </c>
      <c r="O120" s="7">
        <f>IF(I120=ProdFam[[#Headers],[Test]],(VLOOKUP(Data[[#This Row],[Product Family]],ProdFam[],3,FALSE)),(VLOOKUP(Data[[#This Row],[Product Family]],ProdFam[],2,FALSE)))</f>
        <v>10</v>
      </c>
    </row>
    <row r="121" spans="2:15" x14ac:dyDescent="0.25">
      <c r="B121" s="1">
        <f>WEEKNUM(Data[[#This Row],[Date]],1)</f>
        <v>42</v>
      </c>
      <c r="C121" s="1">
        <f>YEAR(Data[[#This Row],[Date]])</f>
        <v>2019</v>
      </c>
      <c r="D121" s="5">
        <v>43754</v>
      </c>
      <c r="E121" s="1" t="s">
        <v>114</v>
      </c>
      <c r="F121" s="1">
        <v>28636</v>
      </c>
      <c r="G121" s="1" t="s">
        <v>53</v>
      </c>
      <c r="H121" s="1" t="s">
        <v>113</v>
      </c>
      <c r="I121" s="1" t="s">
        <v>0</v>
      </c>
      <c r="J121" s="1">
        <v>2</v>
      </c>
      <c r="K121" s="1">
        <f>J121*(IF(I121=ProdFam[[#Headers],[Test]],(VLOOKUP(Data[[#This Row],[Product Family]],ProdFam[],3,FALSE)),(VLOOKUP(Data[[#This Row],[Product Family]],ProdFam[],2,FALSE))))</f>
        <v>94</v>
      </c>
      <c r="L121" s="1">
        <v>8</v>
      </c>
      <c r="M121" s="1">
        <v>0</v>
      </c>
      <c r="N121" s="7" t="str">
        <f>IFERROR(Data[[#This Row],[Actual Time]]/Data[[#This Row],[QTY Complete]],"")</f>
        <v/>
      </c>
      <c r="O121" s="7">
        <f>IF(I121=ProdFam[[#Headers],[Test]],(VLOOKUP(Data[[#This Row],[Product Family]],ProdFam[],3,FALSE)),(VLOOKUP(Data[[#This Row],[Product Family]],ProdFam[],2,FALSE)))</f>
        <v>47</v>
      </c>
    </row>
    <row r="122" spans="2:15" x14ac:dyDescent="0.25">
      <c r="B122" s="1">
        <f>WEEKNUM(Data[[#This Row],[Date]],1)</f>
        <v>42</v>
      </c>
      <c r="C122" s="1">
        <f>YEAR(Data[[#This Row],[Date]])</f>
        <v>2019</v>
      </c>
      <c r="D122" s="5">
        <v>43754</v>
      </c>
      <c r="E122" s="1" t="s">
        <v>114</v>
      </c>
      <c r="F122" s="1">
        <v>60362</v>
      </c>
      <c r="G122" s="1" t="s">
        <v>26</v>
      </c>
      <c r="H122" s="1" t="s">
        <v>162</v>
      </c>
      <c r="I122" s="1" t="s">
        <v>0</v>
      </c>
      <c r="J122" s="1">
        <v>3</v>
      </c>
      <c r="K122" s="1">
        <f>J122*(IF(I122=ProdFam[[#Headers],[Test]],(VLOOKUP(Data[[#This Row],[Product Family]],ProdFam[],3,FALSE)),(VLOOKUP(Data[[#This Row],[Product Family]],ProdFam[],2,FALSE))))</f>
        <v>30</v>
      </c>
      <c r="L122" s="1">
        <v>12</v>
      </c>
      <c r="M122" s="1">
        <v>0</v>
      </c>
      <c r="N122" s="7" t="str">
        <f>IFERROR(Data[[#This Row],[Actual Time]]/Data[[#This Row],[QTY Complete]],"")</f>
        <v/>
      </c>
      <c r="O122" s="7">
        <f>IF(I122=ProdFam[[#Headers],[Test]],(VLOOKUP(Data[[#This Row],[Product Family]],ProdFam[],3,FALSE)),(VLOOKUP(Data[[#This Row],[Product Family]],ProdFam[],2,FALSE)))</f>
        <v>10</v>
      </c>
    </row>
    <row r="123" spans="2:15" x14ac:dyDescent="0.25">
      <c r="B123" s="1">
        <f>WEEKNUM(Data[[#This Row],[Date]],1)</f>
        <v>42</v>
      </c>
      <c r="C123" s="1">
        <f>YEAR(Data[[#This Row],[Date]])</f>
        <v>2019</v>
      </c>
      <c r="D123" s="5">
        <v>43754</v>
      </c>
      <c r="E123" s="1" t="s">
        <v>114</v>
      </c>
      <c r="F123" s="1">
        <v>60683</v>
      </c>
      <c r="G123" s="1" t="s">
        <v>19</v>
      </c>
      <c r="H123" s="1" t="s">
        <v>162</v>
      </c>
      <c r="I123" s="1" t="s">
        <v>0</v>
      </c>
      <c r="J123" s="1">
        <v>9</v>
      </c>
      <c r="K123" s="1">
        <f>J123*(IF(I123=ProdFam[[#Headers],[Test]],(VLOOKUP(Data[[#This Row],[Product Family]],ProdFam[],3,FALSE)),(VLOOKUP(Data[[#This Row],[Product Family]],ProdFam[],2,FALSE))))</f>
        <v>90</v>
      </c>
      <c r="L123" s="1">
        <v>36</v>
      </c>
      <c r="M123" s="1">
        <v>0</v>
      </c>
      <c r="N123" s="7" t="str">
        <f>IFERROR(Data[[#This Row],[Actual Time]]/Data[[#This Row],[QTY Complete]],"")</f>
        <v/>
      </c>
      <c r="O123" s="7">
        <f>IF(I123=ProdFam[[#Headers],[Test]],(VLOOKUP(Data[[#This Row],[Product Family]],ProdFam[],3,FALSE)),(VLOOKUP(Data[[#This Row],[Product Family]],ProdFam[],2,FALSE)))</f>
        <v>10</v>
      </c>
    </row>
    <row r="124" spans="2:15" x14ac:dyDescent="0.25">
      <c r="B124" s="1">
        <f>WEEKNUM(Data[[#This Row],[Date]],1)</f>
        <v>42</v>
      </c>
      <c r="C124" s="1">
        <f>YEAR(Data[[#This Row],[Date]])</f>
        <v>2019</v>
      </c>
      <c r="D124" s="5">
        <v>43754</v>
      </c>
      <c r="E124" s="1" t="s">
        <v>114</v>
      </c>
      <c r="F124" s="1">
        <v>28487</v>
      </c>
      <c r="G124" s="1" t="s">
        <v>49</v>
      </c>
      <c r="H124" s="1" t="s">
        <v>112</v>
      </c>
      <c r="I124" s="1" t="s">
        <v>0</v>
      </c>
      <c r="J124" s="1">
        <v>12</v>
      </c>
      <c r="K124" s="1">
        <f>J124*(IF(I124=ProdFam[[#Headers],[Test]],(VLOOKUP(Data[[#This Row],[Product Family]],ProdFam[],3,FALSE)),(VLOOKUP(Data[[#This Row],[Product Family]],ProdFam[],2,FALSE))))</f>
        <v>120</v>
      </c>
      <c r="L124" s="1">
        <v>35</v>
      </c>
      <c r="M124" s="1">
        <v>0</v>
      </c>
      <c r="N124" s="7" t="str">
        <f>IFERROR(Data[[#This Row],[Actual Time]]/Data[[#This Row],[QTY Complete]],"")</f>
        <v/>
      </c>
      <c r="O124" s="7">
        <f>IF(I124=ProdFam[[#Headers],[Test]],(VLOOKUP(Data[[#This Row],[Product Family]],ProdFam[],3,FALSE)),(VLOOKUP(Data[[#This Row],[Product Family]],ProdFam[],2,FALSE)))</f>
        <v>10</v>
      </c>
    </row>
    <row r="125" spans="2:15" x14ac:dyDescent="0.25">
      <c r="B125" s="1">
        <f>WEEKNUM(Data[[#This Row],[Date]],1)</f>
        <v>42</v>
      </c>
      <c r="C125" s="1">
        <f>YEAR(Data[[#This Row],[Date]])</f>
        <v>2019</v>
      </c>
      <c r="D125" s="5">
        <v>43754</v>
      </c>
      <c r="E125" s="1" t="s">
        <v>114</v>
      </c>
      <c r="F125" s="1">
        <v>28536</v>
      </c>
      <c r="G125" s="1" t="s">
        <v>54</v>
      </c>
      <c r="H125" s="1" t="s">
        <v>112</v>
      </c>
      <c r="I125" s="1" t="s">
        <v>0</v>
      </c>
      <c r="J125" s="1">
        <v>3</v>
      </c>
      <c r="K125" s="1">
        <f>J125*(IF(I125=ProdFam[[#Headers],[Test]],(VLOOKUP(Data[[#This Row],[Product Family]],ProdFam[],3,FALSE)),(VLOOKUP(Data[[#This Row],[Product Family]],ProdFam[],2,FALSE))))</f>
        <v>30</v>
      </c>
      <c r="L125" s="1">
        <v>20</v>
      </c>
      <c r="M125" s="1">
        <v>0</v>
      </c>
      <c r="N125" s="7" t="str">
        <f>IFERROR(Data[[#This Row],[Actual Time]]/Data[[#This Row],[QTY Complete]],"")</f>
        <v/>
      </c>
      <c r="O125" s="7">
        <f>IF(I125=ProdFam[[#Headers],[Test]],(VLOOKUP(Data[[#This Row],[Product Family]],ProdFam[],3,FALSE)),(VLOOKUP(Data[[#This Row],[Product Family]],ProdFam[],2,FALSE)))</f>
        <v>10</v>
      </c>
    </row>
    <row r="126" spans="2:15" x14ac:dyDescent="0.25">
      <c r="B126" s="1">
        <f>WEEKNUM(Data[[#This Row],[Date]],1)</f>
        <v>42</v>
      </c>
      <c r="C126" s="1">
        <f>YEAR(Data[[#This Row],[Date]])</f>
        <v>2019</v>
      </c>
      <c r="D126" s="5">
        <v>43754</v>
      </c>
      <c r="E126" s="1" t="s">
        <v>118</v>
      </c>
      <c r="F126" s="1">
        <v>28480</v>
      </c>
      <c r="G126" s="1" t="s">
        <v>45</v>
      </c>
      <c r="H126" s="1" t="s">
        <v>113</v>
      </c>
      <c r="I126" s="1" t="s">
        <v>0</v>
      </c>
      <c r="J126" s="1">
        <v>4</v>
      </c>
      <c r="K126" s="1">
        <f>J126*(IF(I126=ProdFam[[#Headers],[Test]],(VLOOKUP(Data[[#This Row],[Product Family]],ProdFam[],3,FALSE)),(VLOOKUP(Data[[#This Row],[Product Family]],ProdFam[],2,FALSE))))</f>
        <v>188</v>
      </c>
      <c r="L126" s="1">
        <v>238</v>
      </c>
      <c r="M126" s="1">
        <v>4</v>
      </c>
      <c r="N126" s="7">
        <f>IFERROR(Data[[#This Row],[Actual Time]]/Data[[#This Row],[QTY Complete]],"")</f>
        <v>59.5</v>
      </c>
      <c r="O126" s="7">
        <f>IF(I126=ProdFam[[#Headers],[Test]],(VLOOKUP(Data[[#This Row],[Product Family]],ProdFam[],3,FALSE)),(VLOOKUP(Data[[#This Row],[Product Family]],ProdFam[],2,FALSE)))</f>
        <v>47</v>
      </c>
    </row>
    <row r="127" spans="2:15" x14ac:dyDescent="0.25">
      <c r="B127" s="1">
        <f>WEEKNUM(Data[[#This Row],[Date]],1)</f>
        <v>42</v>
      </c>
      <c r="C127" s="1">
        <f>YEAR(Data[[#This Row],[Date]])</f>
        <v>2019</v>
      </c>
      <c r="D127" s="5">
        <v>43754</v>
      </c>
      <c r="E127" s="1" t="s">
        <v>118</v>
      </c>
      <c r="F127" s="1">
        <v>28071</v>
      </c>
      <c r="G127" s="1" t="s">
        <v>15</v>
      </c>
      <c r="H127" s="1" t="s">
        <v>113</v>
      </c>
      <c r="I127" s="1" t="s">
        <v>0</v>
      </c>
      <c r="J127" s="1">
        <v>1</v>
      </c>
      <c r="K127" s="1">
        <f>J127*(IF(I127=ProdFam[[#Headers],[Test]],(VLOOKUP(Data[[#This Row],[Product Family]],ProdFam[],3,FALSE)),(VLOOKUP(Data[[#This Row],[Product Family]],ProdFam[],2,FALSE))))</f>
        <v>47</v>
      </c>
      <c r="L127" s="1">
        <v>13</v>
      </c>
      <c r="M127" s="1">
        <v>1</v>
      </c>
      <c r="N127" s="7">
        <f>IFERROR(Data[[#This Row],[Actual Time]]/Data[[#This Row],[QTY Complete]],"")</f>
        <v>13</v>
      </c>
      <c r="O127" s="7">
        <f>IF(I127=ProdFam[[#Headers],[Test]],(VLOOKUP(Data[[#This Row],[Product Family]],ProdFam[],3,FALSE)),(VLOOKUP(Data[[#This Row],[Product Family]],ProdFam[],2,FALSE)))</f>
        <v>47</v>
      </c>
    </row>
    <row r="128" spans="2:15" x14ac:dyDescent="0.25">
      <c r="B128" s="1">
        <f>WEEKNUM(Data[[#This Row],[Date]],1)</f>
        <v>42</v>
      </c>
      <c r="C128" s="1">
        <f>YEAR(Data[[#This Row],[Date]])</f>
        <v>2019</v>
      </c>
      <c r="D128" s="5">
        <v>43754</v>
      </c>
      <c r="E128" s="1" t="s">
        <v>118</v>
      </c>
      <c r="F128" s="1">
        <v>28403</v>
      </c>
      <c r="G128" s="1" t="s">
        <v>25</v>
      </c>
      <c r="H128" s="1" t="s">
        <v>113</v>
      </c>
      <c r="I128" s="1" t="s">
        <v>0</v>
      </c>
      <c r="J128" s="1">
        <v>10</v>
      </c>
      <c r="K128" s="1">
        <f>J128*(IF(I128=ProdFam[[#Headers],[Test]],(VLOOKUP(Data[[#This Row],[Product Family]],ProdFam[],3,FALSE)),(VLOOKUP(Data[[#This Row],[Product Family]],ProdFam[],2,FALSE))))</f>
        <v>470</v>
      </c>
      <c r="L128" s="1">
        <v>170</v>
      </c>
      <c r="M128" s="1">
        <v>0</v>
      </c>
      <c r="N128" s="7" t="str">
        <f>IFERROR(Data[[#This Row],[Actual Time]]/Data[[#This Row],[QTY Complete]],"")</f>
        <v/>
      </c>
      <c r="O128" s="7">
        <f>IF(I128=ProdFam[[#Headers],[Test]],(VLOOKUP(Data[[#This Row],[Product Family]],ProdFam[],3,FALSE)),(VLOOKUP(Data[[#This Row],[Product Family]],ProdFam[],2,FALSE)))</f>
        <v>47</v>
      </c>
    </row>
    <row r="129" spans="2:15" x14ac:dyDescent="0.25">
      <c r="B129" s="1">
        <f>WEEKNUM(Data[[#This Row],[Date]],1)</f>
        <v>42</v>
      </c>
      <c r="C129" s="1">
        <f>YEAR(Data[[#This Row],[Date]])</f>
        <v>2019</v>
      </c>
      <c r="D129" s="5">
        <v>43754</v>
      </c>
      <c r="E129" s="1" t="s">
        <v>122</v>
      </c>
      <c r="F129" s="1">
        <v>28465</v>
      </c>
      <c r="G129" s="1" t="s">
        <v>33</v>
      </c>
      <c r="H129" s="1" t="s">
        <v>123</v>
      </c>
      <c r="I129" s="1" t="s">
        <v>0</v>
      </c>
      <c r="J129" s="1">
        <v>8</v>
      </c>
      <c r="K129" s="1">
        <f>J129*(IF(I129=ProdFam[[#Headers],[Test]],(VLOOKUP(Data[[#This Row],[Product Family]],ProdFam[],3,FALSE)),(VLOOKUP(Data[[#This Row],[Product Family]],ProdFam[],2,FALSE))))</f>
        <v>720</v>
      </c>
      <c r="L129" s="1">
        <v>60</v>
      </c>
      <c r="M129" s="1">
        <v>8</v>
      </c>
      <c r="N129" s="7">
        <f>IFERROR(Data[[#This Row],[Actual Time]]/Data[[#This Row],[QTY Complete]],"")</f>
        <v>7.5</v>
      </c>
      <c r="O129" s="7">
        <f>IF(I129=ProdFam[[#Headers],[Test]],(VLOOKUP(Data[[#This Row],[Product Family]],ProdFam[],3,FALSE)),(VLOOKUP(Data[[#This Row],[Product Family]],ProdFam[],2,FALSE)))</f>
        <v>90</v>
      </c>
    </row>
    <row r="130" spans="2:15" x14ac:dyDescent="0.25">
      <c r="B130" s="1">
        <f>WEEKNUM(Data[[#This Row],[Date]],1)</f>
        <v>42</v>
      </c>
      <c r="C130" s="1">
        <f>YEAR(Data[[#This Row],[Date]])</f>
        <v>2019</v>
      </c>
      <c r="D130" s="5">
        <v>43754</v>
      </c>
      <c r="E130" s="1" t="s">
        <v>122</v>
      </c>
      <c r="F130" s="1">
        <v>28600</v>
      </c>
      <c r="G130" s="1" t="s">
        <v>51</v>
      </c>
      <c r="H130" s="1" t="s">
        <v>113</v>
      </c>
      <c r="I130" s="1" t="s">
        <v>0</v>
      </c>
      <c r="J130" s="1">
        <v>8</v>
      </c>
      <c r="K130" s="1">
        <f>J130*(IF(I130=ProdFam[[#Headers],[Test]],(VLOOKUP(Data[[#This Row],[Product Family]],ProdFam[],3,FALSE)),(VLOOKUP(Data[[#This Row],[Product Family]],ProdFam[],2,FALSE))))</f>
        <v>376</v>
      </c>
      <c r="L130" s="1">
        <v>365</v>
      </c>
      <c r="M130" s="1">
        <v>8</v>
      </c>
      <c r="N130" s="7">
        <f>IFERROR(Data[[#This Row],[Actual Time]]/Data[[#This Row],[QTY Complete]],"")</f>
        <v>45.625</v>
      </c>
      <c r="O130" s="7">
        <f>IF(I130=ProdFam[[#Headers],[Test]],(VLOOKUP(Data[[#This Row],[Product Family]],ProdFam[],3,FALSE)),(VLOOKUP(Data[[#This Row],[Product Family]],ProdFam[],2,FALSE)))</f>
        <v>47</v>
      </c>
    </row>
    <row r="131" spans="2:15" x14ac:dyDescent="0.25">
      <c r="B131" s="1">
        <f>WEEKNUM(Data[[#This Row],[Date]],1)</f>
        <v>42</v>
      </c>
      <c r="C131" s="1">
        <f>YEAR(Data[[#This Row],[Date]])</f>
        <v>2019</v>
      </c>
      <c r="D131" s="5">
        <v>43754</v>
      </c>
      <c r="E131" s="1" t="s">
        <v>122</v>
      </c>
      <c r="F131" s="1">
        <v>28473</v>
      </c>
      <c r="G131" s="1" t="s">
        <v>13</v>
      </c>
      <c r="H131" s="1" t="s">
        <v>113</v>
      </c>
      <c r="I131" s="1" t="s">
        <v>0</v>
      </c>
      <c r="J131" s="1">
        <v>4</v>
      </c>
      <c r="K131" s="1">
        <f>J131*(IF(I131=ProdFam[[#Headers],[Test]],(VLOOKUP(Data[[#This Row],[Product Family]],ProdFam[],3,FALSE)),(VLOOKUP(Data[[#This Row],[Product Family]],ProdFam[],2,FALSE))))</f>
        <v>188</v>
      </c>
      <c r="L131" s="1">
        <v>15</v>
      </c>
      <c r="M131" s="1">
        <v>0</v>
      </c>
      <c r="N131" s="7" t="str">
        <f>IFERROR(Data[[#This Row],[Actual Time]]/Data[[#This Row],[QTY Complete]],"")</f>
        <v/>
      </c>
      <c r="O131" s="7">
        <f>IF(I131=ProdFam[[#Headers],[Test]],(VLOOKUP(Data[[#This Row],[Product Family]],ProdFam[],3,FALSE)),(VLOOKUP(Data[[#This Row],[Product Family]],ProdFam[],2,FALSE)))</f>
        <v>47</v>
      </c>
    </row>
    <row r="132" spans="2:15" x14ac:dyDescent="0.25">
      <c r="B132" s="1">
        <f>WEEKNUM(Data[[#This Row],[Date]],1)</f>
        <v>42</v>
      </c>
      <c r="C132" s="1">
        <f>YEAR(Data[[#This Row],[Date]])</f>
        <v>2019</v>
      </c>
      <c r="D132" s="5">
        <v>43755</v>
      </c>
      <c r="E132" s="1" t="s">
        <v>114</v>
      </c>
      <c r="F132" s="1">
        <v>28641</v>
      </c>
      <c r="G132" s="1" t="s">
        <v>55</v>
      </c>
      <c r="H132" s="1" t="s">
        <v>113</v>
      </c>
      <c r="I132" s="1" t="s">
        <v>0</v>
      </c>
      <c r="J132" s="1">
        <v>4</v>
      </c>
      <c r="K132" s="1">
        <f>J132*(IF(I132=ProdFam[[#Headers],[Test]],(VLOOKUP(Data[[#This Row],[Product Family]],ProdFam[],3,FALSE)),(VLOOKUP(Data[[#This Row],[Product Family]],ProdFam[],2,FALSE))))</f>
        <v>188</v>
      </c>
      <c r="L132" s="1">
        <v>20</v>
      </c>
      <c r="M132" s="1">
        <v>0</v>
      </c>
      <c r="N132" s="7" t="str">
        <f>IFERROR(Data[[#This Row],[Actual Time]]/Data[[#This Row],[QTY Complete]],"")</f>
        <v/>
      </c>
      <c r="O132" s="7">
        <f>IF(I132=ProdFam[[#Headers],[Test]],(VLOOKUP(Data[[#This Row],[Product Family]],ProdFam[],3,FALSE)),(VLOOKUP(Data[[#This Row],[Product Family]],ProdFam[],2,FALSE)))</f>
        <v>47</v>
      </c>
    </row>
    <row r="133" spans="2:15" x14ac:dyDescent="0.25">
      <c r="B133" s="1">
        <f>WEEKNUM(Data[[#This Row],[Date]],1)</f>
        <v>42</v>
      </c>
      <c r="C133" s="1">
        <f>YEAR(Data[[#This Row],[Date]])</f>
        <v>2019</v>
      </c>
      <c r="D133" s="5">
        <v>43755</v>
      </c>
      <c r="E133" s="1" t="s">
        <v>114</v>
      </c>
      <c r="F133" s="1">
        <v>60861</v>
      </c>
      <c r="G133" s="1" t="s">
        <v>28</v>
      </c>
      <c r="H133" s="1" t="s">
        <v>162</v>
      </c>
      <c r="I133" s="1" t="s">
        <v>0</v>
      </c>
      <c r="J133" s="1">
        <v>1</v>
      </c>
      <c r="K133" s="1">
        <f>J133*(IF(I133=ProdFam[[#Headers],[Test]],(VLOOKUP(Data[[#This Row],[Product Family]],ProdFam[],3,FALSE)),(VLOOKUP(Data[[#This Row],[Product Family]],ProdFam[],2,FALSE))))</f>
        <v>10</v>
      </c>
      <c r="L133" s="1">
        <v>5</v>
      </c>
      <c r="M133" s="1">
        <v>0</v>
      </c>
      <c r="N133" s="7" t="str">
        <f>IFERROR(Data[[#This Row],[Actual Time]]/Data[[#This Row],[QTY Complete]],"")</f>
        <v/>
      </c>
      <c r="O133" s="7">
        <f>IF(I133=ProdFam[[#Headers],[Test]],(VLOOKUP(Data[[#This Row],[Product Family]],ProdFam[],3,FALSE)),(VLOOKUP(Data[[#This Row],[Product Family]],ProdFam[],2,FALSE)))</f>
        <v>10</v>
      </c>
    </row>
    <row r="134" spans="2:15" x14ac:dyDescent="0.25">
      <c r="B134" s="1">
        <f>WEEKNUM(Data[[#This Row],[Date]],1)</f>
        <v>42</v>
      </c>
      <c r="C134" s="1">
        <f>YEAR(Data[[#This Row],[Date]])</f>
        <v>2019</v>
      </c>
      <c r="D134" s="5">
        <v>43755</v>
      </c>
      <c r="E134" s="1" t="s">
        <v>114</v>
      </c>
      <c r="F134" s="1">
        <v>60870</v>
      </c>
      <c r="G134" s="1" t="s">
        <v>28</v>
      </c>
      <c r="H134" s="1" t="s">
        <v>162</v>
      </c>
      <c r="I134" s="1" t="s">
        <v>0</v>
      </c>
      <c r="J134" s="1">
        <v>1</v>
      </c>
      <c r="K134" s="1">
        <f>J134*(IF(I134=ProdFam[[#Headers],[Test]],(VLOOKUP(Data[[#This Row],[Product Family]],ProdFam[],3,FALSE)),(VLOOKUP(Data[[#This Row],[Product Family]],ProdFam[],2,FALSE))))</f>
        <v>10</v>
      </c>
      <c r="L134" s="1">
        <v>5</v>
      </c>
      <c r="M134" s="1">
        <v>0</v>
      </c>
      <c r="N134" s="7" t="str">
        <f>IFERROR(Data[[#This Row],[Actual Time]]/Data[[#This Row],[QTY Complete]],"")</f>
        <v/>
      </c>
      <c r="O134" s="7">
        <f>IF(I134=ProdFam[[#Headers],[Test]],(VLOOKUP(Data[[#This Row],[Product Family]],ProdFam[],3,FALSE)),(VLOOKUP(Data[[#This Row],[Product Family]],ProdFam[],2,FALSE)))</f>
        <v>10</v>
      </c>
    </row>
    <row r="135" spans="2:15" x14ac:dyDescent="0.25">
      <c r="B135" s="1">
        <f>WEEKNUM(Data[[#This Row],[Date]],1)</f>
        <v>42</v>
      </c>
      <c r="C135" s="1">
        <f>YEAR(Data[[#This Row],[Date]])</f>
        <v>2019</v>
      </c>
      <c r="D135" s="5">
        <v>43755</v>
      </c>
      <c r="E135" s="1" t="s">
        <v>114</v>
      </c>
      <c r="F135" s="1">
        <v>60832</v>
      </c>
      <c r="G135" s="1" t="s">
        <v>28</v>
      </c>
      <c r="H135" s="1" t="s">
        <v>162</v>
      </c>
      <c r="I135" s="1" t="s">
        <v>0</v>
      </c>
      <c r="J135" s="1">
        <v>1</v>
      </c>
      <c r="K135" s="1">
        <f>J135*(IF(I135=ProdFam[[#Headers],[Test]],(VLOOKUP(Data[[#This Row],[Product Family]],ProdFam[],3,FALSE)),(VLOOKUP(Data[[#This Row],[Product Family]],ProdFam[],2,FALSE))))</f>
        <v>10</v>
      </c>
      <c r="L135" s="1">
        <v>5</v>
      </c>
      <c r="M135" s="1">
        <v>0</v>
      </c>
      <c r="N135" s="7" t="str">
        <f>IFERROR(Data[[#This Row],[Actual Time]]/Data[[#This Row],[QTY Complete]],"")</f>
        <v/>
      </c>
      <c r="O135" s="7">
        <f>IF(I135=ProdFam[[#Headers],[Test]],(VLOOKUP(Data[[#This Row],[Product Family]],ProdFam[],3,FALSE)),(VLOOKUP(Data[[#This Row],[Product Family]],ProdFam[],2,FALSE)))</f>
        <v>10</v>
      </c>
    </row>
    <row r="136" spans="2:15" x14ac:dyDescent="0.25">
      <c r="B136" s="1">
        <f>WEEKNUM(Data[[#This Row],[Date]],1)</f>
        <v>42</v>
      </c>
      <c r="C136" s="1">
        <f>YEAR(Data[[#This Row],[Date]])</f>
        <v>2019</v>
      </c>
      <c r="D136" s="5">
        <v>43755</v>
      </c>
      <c r="E136" s="1" t="s">
        <v>114</v>
      </c>
      <c r="F136" s="1">
        <v>28607</v>
      </c>
      <c r="G136" s="1" t="s">
        <v>56</v>
      </c>
      <c r="H136" s="1" t="s">
        <v>113</v>
      </c>
      <c r="I136" s="1" t="s">
        <v>0</v>
      </c>
      <c r="J136" s="1">
        <v>6</v>
      </c>
      <c r="K136" s="1">
        <f>J136*(IF(I136=ProdFam[[#Headers],[Test]],(VLOOKUP(Data[[#This Row],[Product Family]],ProdFam[],3,FALSE)),(VLOOKUP(Data[[#This Row],[Product Family]],ProdFam[],2,FALSE))))</f>
        <v>282</v>
      </c>
      <c r="L136" s="1">
        <v>30</v>
      </c>
      <c r="M136" s="1">
        <v>0</v>
      </c>
      <c r="N136" s="7" t="str">
        <f>IFERROR(Data[[#This Row],[Actual Time]]/Data[[#This Row],[QTY Complete]],"")</f>
        <v/>
      </c>
      <c r="O136" s="7">
        <f>IF(I136=ProdFam[[#Headers],[Test]],(VLOOKUP(Data[[#This Row],[Product Family]],ProdFam[],3,FALSE)),(VLOOKUP(Data[[#This Row],[Product Family]],ProdFam[],2,FALSE)))</f>
        <v>47</v>
      </c>
    </row>
    <row r="137" spans="2:15" x14ac:dyDescent="0.25">
      <c r="B137" s="1">
        <f>WEEKNUM(Data[[#This Row],[Date]],1)</f>
        <v>42</v>
      </c>
      <c r="C137" s="1">
        <f>YEAR(Data[[#This Row],[Date]])</f>
        <v>2019</v>
      </c>
      <c r="D137" s="5">
        <v>43755</v>
      </c>
      <c r="E137" s="1" t="s">
        <v>114</v>
      </c>
      <c r="F137" s="1">
        <v>28697</v>
      </c>
      <c r="G137" s="1" t="s">
        <v>57</v>
      </c>
      <c r="H137" s="1" t="s">
        <v>113</v>
      </c>
      <c r="I137" s="1" t="s">
        <v>0</v>
      </c>
      <c r="J137" s="1">
        <v>4</v>
      </c>
      <c r="K137" s="1">
        <f>J137*(IF(I137=ProdFam[[#Headers],[Test]],(VLOOKUP(Data[[#This Row],[Product Family]],ProdFam[],3,FALSE)),(VLOOKUP(Data[[#This Row],[Product Family]],ProdFam[],2,FALSE))))</f>
        <v>188</v>
      </c>
      <c r="L137" s="1">
        <v>20</v>
      </c>
      <c r="M137" s="1">
        <v>0</v>
      </c>
      <c r="N137" s="7" t="str">
        <f>IFERROR(Data[[#This Row],[Actual Time]]/Data[[#This Row],[QTY Complete]],"")</f>
        <v/>
      </c>
      <c r="O137" s="7">
        <f>IF(I137=ProdFam[[#Headers],[Test]],(VLOOKUP(Data[[#This Row],[Product Family]],ProdFam[],3,FALSE)),(VLOOKUP(Data[[#This Row],[Product Family]],ProdFam[],2,FALSE)))</f>
        <v>47</v>
      </c>
    </row>
    <row r="138" spans="2:15" x14ac:dyDescent="0.25">
      <c r="B138" s="1">
        <f>WEEKNUM(Data[[#This Row],[Date]],1)</f>
        <v>42</v>
      </c>
      <c r="C138" s="1">
        <f>YEAR(Data[[#This Row],[Date]])</f>
        <v>2019</v>
      </c>
      <c r="D138" s="5">
        <v>43755</v>
      </c>
      <c r="E138" s="1" t="s">
        <v>114</v>
      </c>
      <c r="F138" s="1">
        <v>60776</v>
      </c>
      <c r="G138" s="1" t="s">
        <v>4</v>
      </c>
      <c r="H138" s="1" t="s">
        <v>162</v>
      </c>
      <c r="I138" s="1" t="s">
        <v>0</v>
      </c>
      <c r="J138" s="1">
        <v>3</v>
      </c>
      <c r="K138" s="1">
        <f>J138*(IF(I138=ProdFam[[#Headers],[Test]],(VLOOKUP(Data[[#This Row],[Product Family]],ProdFam[],3,FALSE)),(VLOOKUP(Data[[#This Row],[Product Family]],ProdFam[],2,FALSE))))</f>
        <v>30</v>
      </c>
      <c r="L138" s="1">
        <v>15</v>
      </c>
      <c r="M138" s="1">
        <v>0</v>
      </c>
      <c r="N138" s="7" t="str">
        <f>IFERROR(Data[[#This Row],[Actual Time]]/Data[[#This Row],[QTY Complete]],"")</f>
        <v/>
      </c>
      <c r="O138" s="7">
        <f>IF(I138=ProdFam[[#Headers],[Test]],(VLOOKUP(Data[[#This Row],[Product Family]],ProdFam[],3,FALSE)),(VLOOKUP(Data[[#This Row],[Product Family]],ProdFam[],2,FALSE)))</f>
        <v>10</v>
      </c>
    </row>
    <row r="139" spans="2:15" x14ac:dyDescent="0.25">
      <c r="B139" s="1">
        <f>WEEKNUM(Data[[#This Row],[Date]],1)</f>
        <v>42</v>
      </c>
      <c r="C139" s="1">
        <f>YEAR(Data[[#This Row],[Date]])</f>
        <v>2019</v>
      </c>
      <c r="D139" s="5">
        <v>43755</v>
      </c>
      <c r="E139" s="1" t="s">
        <v>114</v>
      </c>
      <c r="F139" s="1">
        <v>28485</v>
      </c>
      <c r="G139" s="1" t="s">
        <v>58</v>
      </c>
      <c r="H139" s="1" t="s">
        <v>112</v>
      </c>
      <c r="I139" s="1" t="s">
        <v>0</v>
      </c>
      <c r="J139" s="1">
        <v>12</v>
      </c>
      <c r="K139" s="1">
        <f>J139*(IF(I139=ProdFam[[#Headers],[Test]],(VLOOKUP(Data[[#This Row],[Product Family]],ProdFam[],3,FALSE)),(VLOOKUP(Data[[#This Row],[Product Family]],ProdFam[],2,FALSE))))</f>
        <v>120</v>
      </c>
      <c r="L139" s="1">
        <v>45</v>
      </c>
      <c r="M139" s="1">
        <v>0</v>
      </c>
      <c r="N139" s="7" t="str">
        <f>IFERROR(Data[[#This Row],[Actual Time]]/Data[[#This Row],[QTY Complete]],"")</f>
        <v/>
      </c>
      <c r="O139" s="7">
        <f>IF(I139=ProdFam[[#Headers],[Test]],(VLOOKUP(Data[[#This Row],[Product Family]],ProdFam[],3,FALSE)),(VLOOKUP(Data[[#This Row],[Product Family]],ProdFam[],2,FALSE)))</f>
        <v>10</v>
      </c>
    </row>
    <row r="140" spans="2:15" x14ac:dyDescent="0.25">
      <c r="B140" s="1">
        <f>WEEKNUM(Data[[#This Row],[Date]],1)</f>
        <v>42</v>
      </c>
      <c r="C140" s="1">
        <f>YEAR(Data[[#This Row],[Date]])</f>
        <v>2019</v>
      </c>
      <c r="D140" s="5">
        <v>43755</v>
      </c>
      <c r="E140" s="1" t="s">
        <v>114</v>
      </c>
      <c r="F140" s="1">
        <v>28417</v>
      </c>
      <c r="G140" s="1" t="s">
        <v>8</v>
      </c>
      <c r="H140" s="1" t="s">
        <v>112</v>
      </c>
      <c r="I140" s="1" t="s">
        <v>0</v>
      </c>
      <c r="J140" s="1">
        <v>19</v>
      </c>
      <c r="K140" s="1">
        <f>J140*(IF(I140=ProdFam[[#Headers],[Test]],(VLOOKUP(Data[[#This Row],[Product Family]],ProdFam[],3,FALSE)),(VLOOKUP(Data[[#This Row],[Product Family]],ProdFam[],2,FALSE))))</f>
        <v>190</v>
      </c>
      <c r="L140" s="1">
        <v>30</v>
      </c>
      <c r="M140" s="1">
        <v>0</v>
      </c>
      <c r="N140" s="7" t="str">
        <f>IFERROR(Data[[#This Row],[Actual Time]]/Data[[#This Row],[QTY Complete]],"")</f>
        <v/>
      </c>
      <c r="O140" s="7">
        <f>IF(I140=ProdFam[[#Headers],[Test]],(VLOOKUP(Data[[#This Row],[Product Family]],ProdFam[],3,FALSE)),(VLOOKUP(Data[[#This Row],[Product Family]],ProdFam[],2,FALSE)))</f>
        <v>10</v>
      </c>
    </row>
    <row r="141" spans="2:15" x14ac:dyDescent="0.25">
      <c r="B141" s="1">
        <f>WEEKNUM(Data[[#This Row],[Date]],1)</f>
        <v>42</v>
      </c>
      <c r="C141" s="1">
        <f>YEAR(Data[[#This Row],[Date]])</f>
        <v>2019</v>
      </c>
      <c r="D141" s="5">
        <v>43755</v>
      </c>
      <c r="E141" s="1" t="s">
        <v>111</v>
      </c>
      <c r="F141" s="1">
        <v>28523</v>
      </c>
      <c r="G141" s="1" t="s">
        <v>44</v>
      </c>
      <c r="H141" s="1" t="s">
        <v>113</v>
      </c>
      <c r="I141" s="1" t="s">
        <v>1</v>
      </c>
      <c r="J141" s="1">
        <v>10</v>
      </c>
      <c r="K141" s="1">
        <f>J141*(IF(I141=ProdFam[[#Headers],[Test]],(VLOOKUP(Data[[#This Row],[Product Family]],ProdFam[],3,FALSE)),(VLOOKUP(Data[[#This Row],[Product Family]],ProdFam[],2,FALSE))))</f>
        <v>320</v>
      </c>
      <c r="L141" s="1">
        <v>235</v>
      </c>
      <c r="M141" s="1">
        <v>9</v>
      </c>
      <c r="N141" s="7">
        <f>IFERROR(Data[[#This Row],[Actual Time]]/Data[[#This Row],[QTY Complete]],"")</f>
        <v>26.111111111111111</v>
      </c>
      <c r="O141" s="7">
        <f>IF(I141=ProdFam[[#Headers],[Test]],(VLOOKUP(Data[[#This Row],[Product Family]],ProdFam[],3,FALSE)),(VLOOKUP(Data[[#This Row],[Product Family]],ProdFam[],2,FALSE)))</f>
        <v>32</v>
      </c>
    </row>
    <row r="142" spans="2:15" x14ac:dyDescent="0.25">
      <c r="B142" s="1">
        <f>WEEKNUM(Data[[#This Row],[Date]],1)</f>
        <v>42</v>
      </c>
      <c r="C142" s="1">
        <f>YEAR(Data[[#This Row],[Date]])</f>
        <v>2019</v>
      </c>
      <c r="D142" s="5">
        <v>43755</v>
      </c>
      <c r="E142" s="1" t="s">
        <v>111</v>
      </c>
      <c r="F142" s="1">
        <v>28472</v>
      </c>
      <c r="G142" s="1" t="s">
        <v>49</v>
      </c>
      <c r="H142" s="1" t="s">
        <v>112</v>
      </c>
      <c r="I142" s="1" t="s">
        <v>1</v>
      </c>
      <c r="J142" s="1">
        <v>8</v>
      </c>
      <c r="K142" s="1">
        <f>J142*(IF(I142=ProdFam[[#Headers],[Test]],(VLOOKUP(Data[[#This Row],[Product Family]],ProdFam[],3,FALSE)),(VLOOKUP(Data[[#This Row],[Product Family]],ProdFam[],2,FALSE))))</f>
        <v>80</v>
      </c>
      <c r="L142" s="1">
        <v>80</v>
      </c>
      <c r="M142" s="1">
        <v>8</v>
      </c>
      <c r="N142" s="7">
        <f>IFERROR(Data[[#This Row],[Actual Time]]/Data[[#This Row],[QTY Complete]],"")</f>
        <v>10</v>
      </c>
      <c r="O142" s="7">
        <f>IF(I142=ProdFam[[#Headers],[Test]],(VLOOKUP(Data[[#This Row],[Product Family]],ProdFam[],3,FALSE)),(VLOOKUP(Data[[#This Row],[Product Family]],ProdFam[],2,FALSE)))</f>
        <v>10</v>
      </c>
    </row>
    <row r="143" spans="2:15" x14ac:dyDescent="0.25">
      <c r="B143" s="1">
        <f>WEEKNUM(Data[[#This Row],[Date]],1)</f>
        <v>42</v>
      </c>
      <c r="C143" s="1">
        <f>YEAR(Data[[#This Row],[Date]])</f>
        <v>2019</v>
      </c>
      <c r="D143" s="5">
        <v>43755</v>
      </c>
      <c r="E143" s="1" t="s">
        <v>111</v>
      </c>
      <c r="F143" s="1">
        <v>28487</v>
      </c>
      <c r="G143" s="1" t="s">
        <v>49</v>
      </c>
      <c r="H143" s="1" t="s">
        <v>112</v>
      </c>
      <c r="I143" s="1" t="s">
        <v>0</v>
      </c>
      <c r="J143" s="1">
        <v>12</v>
      </c>
      <c r="K143" s="1">
        <f>J143*(IF(I143=ProdFam[[#Headers],[Test]],(VLOOKUP(Data[[#This Row],[Product Family]],ProdFam[],3,FALSE)),(VLOOKUP(Data[[#This Row],[Product Family]],ProdFam[],2,FALSE))))</f>
        <v>120</v>
      </c>
      <c r="L143" s="1">
        <v>45</v>
      </c>
      <c r="M143" s="1">
        <v>12</v>
      </c>
      <c r="N143" s="7">
        <f>IFERROR(Data[[#This Row],[Actual Time]]/Data[[#This Row],[QTY Complete]],"")</f>
        <v>3.75</v>
      </c>
      <c r="O143" s="7">
        <f>IF(I143=ProdFam[[#Headers],[Test]],(VLOOKUP(Data[[#This Row],[Product Family]],ProdFam[],3,FALSE)),(VLOOKUP(Data[[#This Row],[Product Family]],ProdFam[],2,FALSE)))</f>
        <v>10</v>
      </c>
    </row>
    <row r="144" spans="2:15" x14ac:dyDescent="0.25">
      <c r="B144" s="1">
        <f>WEEKNUM(Data[[#This Row],[Date]],1)</f>
        <v>42</v>
      </c>
      <c r="C144" s="1">
        <f>YEAR(Data[[#This Row],[Date]])</f>
        <v>2019</v>
      </c>
      <c r="D144" s="5">
        <v>43755</v>
      </c>
      <c r="E144" s="1" t="s">
        <v>122</v>
      </c>
      <c r="F144" s="1">
        <v>28473</v>
      </c>
      <c r="G144" s="1" t="s">
        <v>47</v>
      </c>
      <c r="H144" s="1" t="s">
        <v>113</v>
      </c>
      <c r="I144" s="1" t="s">
        <v>0</v>
      </c>
      <c r="J144" s="1">
        <v>4</v>
      </c>
      <c r="K144" s="1">
        <f>J144*(IF(I144=ProdFam[[#Headers],[Test]],(VLOOKUP(Data[[#This Row],[Product Family]],ProdFam[],3,FALSE)),(VLOOKUP(Data[[#This Row],[Product Family]],ProdFam[],2,FALSE))))</f>
        <v>188</v>
      </c>
      <c r="L144" s="1">
        <v>150</v>
      </c>
      <c r="M144" s="1">
        <v>4</v>
      </c>
      <c r="N144" s="7">
        <f>IFERROR(Data[[#This Row],[Actual Time]]/Data[[#This Row],[QTY Complete]],"")</f>
        <v>37.5</v>
      </c>
      <c r="O144" s="7">
        <f>IF(I144=ProdFam[[#Headers],[Test]],(VLOOKUP(Data[[#This Row],[Product Family]],ProdFam[],3,FALSE)),(VLOOKUP(Data[[#This Row],[Product Family]],ProdFam[],2,FALSE)))</f>
        <v>47</v>
      </c>
    </row>
    <row r="145" spans="2:15" x14ac:dyDescent="0.25">
      <c r="B145" s="1">
        <f>WEEKNUM(Data[[#This Row],[Date]],1)</f>
        <v>42</v>
      </c>
      <c r="C145" s="1">
        <f>YEAR(Data[[#This Row],[Date]])</f>
        <v>2019</v>
      </c>
      <c r="D145" s="5">
        <v>43755</v>
      </c>
      <c r="E145" s="1" t="s">
        <v>122</v>
      </c>
      <c r="F145" s="1">
        <v>28640</v>
      </c>
      <c r="G145" s="1" t="s">
        <v>51</v>
      </c>
      <c r="H145" s="1" t="s">
        <v>113</v>
      </c>
      <c r="I145" s="1" t="s">
        <v>0</v>
      </c>
      <c r="J145" s="1">
        <v>8</v>
      </c>
      <c r="K145" s="1">
        <f>J145*(IF(I145=ProdFam[[#Headers],[Test]],(VLOOKUP(Data[[#This Row],[Product Family]],ProdFam[],3,FALSE)),(VLOOKUP(Data[[#This Row],[Product Family]],ProdFam[],2,FALSE))))</f>
        <v>376</v>
      </c>
      <c r="L145" s="1">
        <v>325</v>
      </c>
      <c r="M145" s="1">
        <v>8</v>
      </c>
      <c r="N145" s="7">
        <f>IFERROR(Data[[#This Row],[Actual Time]]/Data[[#This Row],[QTY Complete]],"")</f>
        <v>40.625</v>
      </c>
      <c r="O145" s="7">
        <f>IF(I145=ProdFam[[#Headers],[Test]],(VLOOKUP(Data[[#This Row],[Product Family]],ProdFam[],3,FALSE)),(VLOOKUP(Data[[#This Row],[Product Family]],ProdFam[],2,FALSE)))</f>
        <v>47</v>
      </c>
    </row>
    <row r="146" spans="2:15" x14ac:dyDescent="0.25">
      <c r="B146" s="1">
        <f>WEEKNUM(Data[[#This Row],[Date]],1)</f>
        <v>42</v>
      </c>
      <c r="C146" s="1">
        <f>YEAR(Data[[#This Row],[Date]])</f>
        <v>2019</v>
      </c>
      <c r="D146" s="5">
        <v>43755</v>
      </c>
      <c r="E146" s="1" t="s">
        <v>122</v>
      </c>
      <c r="F146" s="1">
        <v>28653</v>
      </c>
      <c r="G146" s="1" t="s">
        <v>51</v>
      </c>
      <c r="H146" s="1" t="s">
        <v>113</v>
      </c>
      <c r="I146" s="1" t="s">
        <v>0</v>
      </c>
      <c r="J146" s="1">
        <v>10</v>
      </c>
      <c r="K146" s="1">
        <f>J146*(IF(I146=ProdFam[[#Headers],[Test]],(VLOOKUP(Data[[#This Row],[Product Family]],ProdFam[],3,FALSE)),(VLOOKUP(Data[[#This Row],[Product Family]],ProdFam[],2,FALSE))))</f>
        <v>470</v>
      </c>
      <c r="L146" s="1">
        <v>240</v>
      </c>
      <c r="M146" s="1">
        <v>0</v>
      </c>
      <c r="N146" s="7" t="str">
        <f>IFERROR(Data[[#This Row],[Actual Time]]/Data[[#This Row],[QTY Complete]],"")</f>
        <v/>
      </c>
      <c r="O146" s="7">
        <f>IF(I146=ProdFam[[#Headers],[Test]],(VLOOKUP(Data[[#This Row],[Product Family]],ProdFam[],3,FALSE)),(VLOOKUP(Data[[#This Row],[Product Family]],ProdFam[],2,FALSE)))</f>
        <v>47</v>
      </c>
    </row>
    <row r="147" spans="2:15" x14ac:dyDescent="0.25">
      <c r="B147" s="1">
        <f>WEEKNUM(Data[[#This Row],[Date]],1)</f>
        <v>42</v>
      </c>
      <c r="C147" s="1">
        <f>YEAR(Data[[#This Row],[Date]])</f>
        <v>2019</v>
      </c>
      <c r="D147" s="5">
        <v>43755</v>
      </c>
      <c r="E147" s="1" t="s">
        <v>118</v>
      </c>
      <c r="F147" s="1">
        <v>28403</v>
      </c>
      <c r="G147" s="1" t="s">
        <v>25</v>
      </c>
      <c r="H147" s="1" t="s">
        <v>113</v>
      </c>
      <c r="I147" s="1" t="s">
        <v>0</v>
      </c>
      <c r="J147" s="1">
        <v>10</v>
      </c>
      <c r="K147" s="1">
        <f>J147*(IF(I147=ProdFam[[#Headers],[Test]],(VLOOKUP(Data[[#This Row],[Product Family]],ProdFam[],3,FALSE)),(VLOOKUP(Data[[#This Row],[Product Family]],ProdFam[],2,FALSE))))</f>
        <v>470</v>
      </c>
      <c r="L147" s="1">
        <v>200</v>
      </c>
      <c r="M147" s="1">
        <v>10</v>
      </c>
      <c r="N147" s="7">
        <f>IFERROR(Data[[#This Row],[Actual Time]]/Data[[#This Row],[QTY Complete]],"")</f>
        <v>20</v>
      </c>
      <c r="O147" s="7">
        <f>IF(I147=ProdFam[[#Headers],[Test]],(VLOOKUP(Data[[#This Row],[Product Family]],ProdFam[],3,FALSE)),(VLOOKUP(Data[[#This Row],[Product Family]],ProdFam[],2,FALSE)))</f>
        <v>47</v>
      </c>
    </row>
    <row r="148" spans="2:15" x14ac:dyDescent="0.25">
      <c r="B148" s="1">
        <f>WEEKNUM(Data[[#This Row],[Date]],1)</f>
        <v>42</v>
      </c>
      <c r="C148" s="1">
        <f>YEAR(Data[[#This Row],[Date]])</f>
        <v>2019</v>
      </c>
      <c r="D148" s="5">
        <v>43755</v>
      </c>
      <c r="E148" s="1" t="s">
        <v>118</v>
      </c>
      <c r="F148" s="1">
        <v>28483</v>
      </c>
      <c r="G148" s="1" t="s">
        <v>29</v>
      </c>
      <c r="H148" s="1" t="s">
        <v>113</v>
      </c>
      <c r="I148" s="1" t="s">
        <v>0</v>
      </c>
      <c r="J148" s="1">
        <v>5</v>
      </c>
      <c r="K148" s="1">
        <f>J148*(IF(I148=ProdFam[[#Headers],[Test]],(VLOOKUP(Data[[#This Row],[Product Family]],ProdFam[],3,FALSE)),(VLOOKUP(Data[[#This Row],[Product Family]],ProdFam[],2,FALSE))))</f>
        <v>235</v>
      </c>
      <c r="L148" s="1">
        <v>180</v>
      </c>
      <c r="M148" s="1">
        <v>5</v>
      </c>
      <c r="N148" s="7">
        <f>IFERROR(Data[[#This Row],[Actual Time]]/Data[[#This Row],[QTY Complete]],"")</f>
        <v>36</v>
      </c>
      <c r="O148" s="7">
        <f>IF(I148=ProdFam[[#Headers],[Test]],(VLOOKUP(Data[[#This Row],[Product Family]],ProdFam[],3,FALSE)),(VLOOKUP(Data[[#This Row],[Product Family]],ProdFam[],2,FALSE)))</f>
        <v>47</v>
      </c>
    </row>
    <row r="149" spans="2:15" x14ac:dyDescent="0.25">
      <c r="B149" s="1">
        <f>WEEKNUM(Data[[#This Row],[Date]],1)</f>
        <v>42</v>
      </c>
      <c r="C149" s="1">
        <f>YEAR(Data[[#This Row],[Date]])</f>
        <v>2019</v>
      </c>
      <c r="D149" s="5">
        <v>43755</v>
      </c>
      <c r="E149" s="1" t="s">
        <v>118</v>
      </c>
      <c r="F149" s="1">
        <v>28608</v>
      </c>
      <c r="G149" s="1" t="s">
        <v>59</v>
      </c>
      <c r="H149" s="1" t="s">
        <v>113</v>
      </c>
      <c r="I149" s="1" t="s">
        <v>0</v>
      </c>
      <c r="J149" s="1">
        <v>1</v>
      </c>
      <c r="K149" s="1">
        <f>J149*(IF(I149=ProdFam[[#Headers],[Test]],(VLOOKUP(Data[[#This Row],[Product Family]],ProdFam[],3,FALSE)),(VLOOKUP(Data[[#This Row],[Product Family]],ProdFam[],2,FALSE))))</f>
        <v>47</v>
      </c>
      <c r="L149" s="1">
        <v>70</v>
      </c>
      <c r="M149" s="1">
        <v>1</v>
      </c>
      <c r="N149" s="7">
        <f>IFERROR(Data[[#This Row],[Actual Time]]/Data[[#This Row],[QTY Complete]],"")</f>
        <v>70</v>
      </c>
      <c r="O149" s="7">
        <f>IF(I149=ProdFam[[#Headers],[Test]],(VLOOKUP(Data[[#This Row],[Product Family]],ProdFam[],3,FALSE)),(VLOOKUP(Data[[#This Row],[Product Family]],ProdFam[],2,FALSE)))</f>
        <v>47</v>
      </c>
    </row>
    <row r="150" spans="2:15" x14ac:dyDescent="0.25">
      <c r="B150" s="1">
        <f>WEEKNUM(Data[[#This Row],[Date]],1)</f>
        <v>42</v>
      </c>
      <c r="C150" s="1">
        <f>YEAR(Data[[#This Row],[Date]])</f>
        <v>2019</v>
      </c>
      <c r="D150" s="5">
        <v>43755</v>
      </c>
      <c r="E150" s="1" t="s">
        <v>119</v>
      </c>
      <c r="F150" s="1">
        <v>28542</v>
      </c>
      <c r="G150" s="1" t="s">
        <v>28</v>
      </c>
      <c r="H150" s="1" t="s">
        <v>113</v>
      </c>
      <c r="I150" s="1" t="s">
        <v>0</v>
      </c>
      <c r="J150" s="1">
        <v>8</v>
      </c>
      <c r="K150" s="1">
        <f>J150*(IF(I150=ProdFam[[#Headers],[Test]],(VLOOKUP(Data[[#This Row],[Product Family]],ProdFam[],3,FALSE)),(VLOOKUP(Data[[#This Row],[Product Family]],ProdFam[],2,FALSE))))</f>
        <v>376</v>
      </c>
      <c r="L150" s="1">
        <v>220</v>
      </c>
      <c r="M150" s="1">
        <v>8</v>
      </c>
      <c r="N150" s="7">
        <f>IFERROR(Data[[#This Row],[Actual Time]]/Data[[#This Row],[QTY Complete]],"")</f>
        <v>27.5</v>
      </c>
      <c r="O150" s="7">
        <f>IF(I150=ProdFam[[#Headers],[Test]],(VLOOKUP(Data[[#This Row],[Product Family]],ProdFam[],3,FALSE)),(VLOOKUP(Data[[#This Row],[Product Family]],ProdFam[],2,FALSE)))</f>
        <v>47</v>
      </c>
    </row>
    <row r="151" spans="2:15" x14ac:dyDescent="0.25">
      <c r="B151" s="1">
        <f>WEEKNUM(Data[[#This Row],[Date]],1)</f>
        <v>42</v>
      </c>
      <c r="C151" s="1">
        <f>YEAR(Data[[#This Row],[Date]])</f>
        <v>2019</v>
      </c>
      <c r="D151" s="5">
        <v>43755</v>
      </c>
      <c r="E151" s="1" t="s">
        <v>119</v>
      </c>
      <c r="F151" s="1">
        <v>28601</v>
      </c>
      <c r="G151" s="1" t="s">
        <v>18</v>
      </c>
      <c r="H151" s="1" t="s">
        <v>115</v>
      </c>
      <c r="I151" s="1" t="s">
        <v>0</v>
      </c>
      <c r="J151" s="1">
        <v>12</v>
      </c>
      <c r="K151" s="1">
        <f>J151*(IF(I151=ProdFam[[#Headers],[Test]],(VLOOKUP(Data[[#This Row],[Product Family]],ProdFam[],3,FALSE)),(VLOOKUP(Data[[#This Row],[Product Family]],ProdFam[],2,FALSE))))</f>
        <v>96</v>
      </c>
      <c r="L151" s="1">
        <v>20</v>
      </c>
      <c r="M151" s="1">
        <v>12</v>
      </c>
      <c r="N151" s="7">
        <f>IFERROR(Data[[#This Row],[Actual Time]]/Data[[#This Row],[QTY Complete]],"")</f>
        <v>1.6666666666666667</v>
      </c>
      <c r="O151" s="7">
        <f>IF(I151=ProdFam[[#Headers],[Test]],(VLOOKUP(Data[[#This Row],[Product Family]],ProdFam[],3,FALSE)),(VLOOKUP(Data[[#This Row],[Product Family]],ProdFam[],2,FALSE)))</f>
        <v>8</v>
      </c>
    </row>
    <row r="152" spans="2:15" x14ac:dyDescent="0.25">
      <c r="B152" s="1">
        <f>WEEKNUM(Data[[#This Row],[Date]],1)</f>
        <v>42</v>
      </c>
      <c r="C152" s="1">
        <f>YEAR(Data[[#This Row],[Date]])</f>
        <v>2019</v>
      </c>
      <c r="D152" s="5">
        <v>43755</v>
      </c>
      <c r="E152" s="1" t="s">
        <v>119</v>
      </c>
      <c r="F152" s="1">
        <v>28659</v>
      </c>
      <c r="G152" s="1" t="s">
        <v>19</v>
      </c>
      <c r="H152" s="1" t="s">
        <v>113</v>
      </c>
      <c r="I152" s="1" t="s">
        <v>0</v>
      </c>
      <c r="J152" s="1">
        <v>1</v>
      </c>
      <c r="K152" s="1">
        <f>J152*(IF(I152=ProdFam[[#Headers],[Test]],(VLOOKUP(Data[[#This Row],[Product Family]],ProdFam[],3,FALSE)),(VLOOKUP(Data[[#This Row],[Product Family]],ProdFam[],2,FALSE))))</f>
        <v>47</v>
      </c>
      <c r="L152" s="1">
        <v>45</v>
      </c>
      <c r="M152" s="1">
        <v>1</v>
      </c>
      <c r="N152" s="7">
        <f>IFERROR(Data[[#This Row],[Actual Time]]/Data[[#This Row],[QTY Complete]],"")</f>
        <v>45</v>
      </c>
      <c r="O152" s="7">
        <f>IF(I152=ProdFam[[#Headers],[Test]],(VLOOKUP(Data[[#This Row],[Product Family]],ProdFam[],3,FALSE)),(VLOOKUP(Data[[#This Row],[Product Family]],ProdFam[],2,FALSE)))</f>
        <v>47</v>
      </c>
    </row>
    <row r="153" spans="2:15" x14ac:dyDescent="0.25">
      <c r="B153" s="1">
        <f>WEEKNUM(Data[[#This Row],[Date]],1)</f>
        <v>42</v>
      </c>
      <c r="C153" s="1">
        <f>YEAR(Data[[#This Row],[Date]])</f>
        <v>2019</v>
      </c>
      <c r="D153" s="5">
        <v>43755</v>
      </c>
      <c r="E153" s="1" t="s">
        <v>119</v>
      </c>
      <c r="F153" s="1">
        <v>28524</v>
      </c>
      <c r="G153" s="1" t="s">
        <v>11</v>
      </c>
      <c r="H153" s="1" t="s">
        <v>113</v>
      </c>
      <c r="I153" s="1" t="s">
        <v>0</v>
      </c>
      <c r="J153" s="1">
        <v>6</v>
      </c>
      <c r="K153" s="1">
        <f>J153*(IF(I153=ProdFam[[#Headers],[Test]],(VLOOKUP(Data[[#This Row],[Product Family]],ProdFam[],3,FALSE)),(VLOOKUP(Data[[#This Row],[Product Family]],ProdFam[],2,FALSE))))</f>
        <v>282</v>
      </c>
      <c r="L153" s="1">
        <v>190</v>
      </c>
      <c r="M153" s="1">
        <v>6</v>
      </c>
      <c r="N153" s="7">
        <f>IFERROR(Data[[#This Row],[Actual Time]]/Data[[#This Row],[QTY Complete]],"")</f>
        <v>31.666666666666668</v>
      </c>
      <c r="O153" s="7">
        <f>IF(I153=ProdFam[[#Headers],[Test]],(VLOOKUP(Data[[#This Row],[Product Family]],ProdFam[],3,FALSE)),(VLOOKUP(Data[[#This Row],[Product Family]],ProdFam[],2,FALSE)))</f>
        <v>47</v>
      </c>
    </row>
    <row r="154" spans="2:15" x14ac:dyDescent="0.25">
      <c r="B154" s="1">
        <f>WEEKNUM(Data[[#This Row],[Date]],1)</f>
        <v>42</v>
      </c>
      <c r="C154" s="1">
        <f>YEAR(Data[[#This Row],[Date]])</f>
        <v>2019</v>
      </c>
      <c r="D154" s="5">
        <v>43755</v>
      </c>
      <c r="E154" s="1" t="s">
        <v>117</v>
      </c>
      <c r="F154" s="1">
        <v>28473</v>
      </c>
      <c r="G154" s="1" t="s">
        <v>13</v>
      </c>
      <c r="H154" s="1" t="s">
        <v>113</v>
      </c>
      <c r="I154" s="1" t="s">
        <v>1</v>
      </c>
      <c r="J154" s="1">
        <v>4</v>
      </c>
      <c r="K154" s="1">
        <f>J154*(IF(I154=ProdFam[[#Headers],[Test]],(VLOOKUP(Data[[#This Row],[Product Family]],ProdFam[],3,FALSE)),(VLOOKUP(Data[[#This Row],[Product Family]],ProdFam[],2,FALSE))))</f>
        <v>128</v>
      </c>
      <c r="L154" s="1">
        <v>155</v>
      </c>
      <c r="M154" s="1">
        <v>4</v>
      </c>
      <c r="N154" s="7">
        <f>IFERROR(Data[[#This Row],[Actual Time]]/Data[[#This Row],[QTY Complete]],"")</f>
        <v>38.75</v>
      </c>
      <c r="O154" s="7">
        <f>IF(I154=ProdFam[[#Headers],[Test]],(VLOOKUP(Data[[#This Row],[Product Family]],ProdFam[],3,FALSE)),(VLOOKUP(Data[[#This Row],[Product Family]],ProdFam[],2,FALSE)))</f>
        <v>32</v>
      </c>
    </row>
    <row r="155" spans="2:15" x14ac:dyDescent="0.25">
      <c r="B155" s="1">
        <f>WEEKNUM(Data[[#This Row],[Date]],1)</f>
        <v>42</v>
      </c>
      <c r="C155" s="1">
        <f>YEAR(Data[[#This Row],[Date]])</f>
        <v>2019</v>
      </c>
      <c r="D155" s="5">
        <v>43755</v>
      </c>
      <c r="E155" s="1" t="s">
        <v>117</v>
      </c>
      <c r="F155" s="1">
        <v>28542</v>
      </c>
      <c r="G155" s="1" t="s">
        <v>28</v>
      </c>
      <c r="H155" s="1" t="s">
        <v>113</v>
      </c>
      <c r="I155" s="1" t="s">
        <v>1</v>
      </c>
      <c r="J155" s="1">
        <v>5</v>
      </c>
      <c r="K155" s="1">
        <f>J155*(IF(I155=ProdFam[[#Headers],[Test]],(VLOOKUP(Data[[#This Row],[Product Family]],ProdFam[],3,FALSE)),(VLOOKUP(Data[[#This Row],[Product Family]],ProdFam[],2,FALSE))))</f>
        <v>160</v>
      </c>
      <c r="L155" s="1">
        <v>75</v>
      </c>
      <c r="M155" s="1">
        <v>2</v>
      </c>
      <c r="N155" s="7">
        <f>IFERROR(Data[[#This Row],[Actual Time]]/Data[[#This Row],[QTY Complete]],"")</f>
        <v>37.5</v>
      </c>
      <c r="O155" s="7">
        <f>IF(I155=ProdFam[[#Headers],[Test]],(VLOOKUP(Data[[#This Row],[Product Family]],ProdFam[],3,FALSE)),(VLOOKUP(Data[[#This Row],[Product Family]],ProdFam[],2,FALSE)))</f>
        <v>32</v>
      </c>
    </row>
    <row r="156" spans="2:15" x14ac:dyDescent="0.25">
      <c r="B156" s="1">
        <f>WEEKNUM(Data[[#This Row],[Date]],1)</f>
        <v>42</v>
      </c>
      <c r="C156" s="1">
        <f>YEAR(Data[[#This Row],[Date]])</f>
        <v>2019</v>
      </c>
      <c r="D156" s="5">
        <v>43755</v>
      </c>
      <c r="E156" s="1" t="s">
        <v>117</v>
      </c>
      <c r="F156" s="1">
        <v>28391</v>
      </c>
      <c r="G156" s="1" t="s">
        <v>44</v>
      </c>
      <c r="H156" s="1" t="s">
        <v>113</v>
      </c>
      <c r="I156" s="1" t="s">
        <v>1</v>
      </c>
      <c r="J156" s="1">
        <v>3</v>
      </c>
      <c r="K156" s="1">
        <f>J156*(IF(I156=ProdFam[[#Headers],[Test]],(VLOOKUP(Data[[#This Row],[Product Family]],ProdFam[],3,FALSE)),(VLOOKUP(Data[[#This Row],[Product Family]],ProdFam[],2,FALSE))))</f>
        <v>96</v>
      </c>
      <c r="L156" s="1">
        <v>60</v>
      </c>
      <c r="M156" s="1">
        <v>3</v>
      </c>
      <c r="N156" s="7">
        <f>IFERROR(Data[[#This Row],[Actual Time]]/Data[[#This Row],[QTY Complete]],"")</f>
        <v>20</v>
      </c>
      <c r="O156" s="7">
        <f>IF(I156=ProdFam[[#Headers],[Test]],(VLOOKUP(Data[[#This Row],[Product Family]],ProdFam[],3,FALSE)),(VLOOKUP(Data[[#This Row],[Product Family]],ProdFam[],2,FALSE)))</f>
        <v>32</v>
      </c>
    </row>
    <row r="157" spans="2:15" x14ac:dyDescent="0.25">
      <c r="B157" s="1">
        <f>WEEKNUM(Data[[#This Row],[Date]],1)</f>
        <v>42</v>
      </c>
      <c r="C157" s="1">
        <f>YEAR(Data[[#This Row],[Date]])</f>
        <v>2019</v>
      </c>
      <c r="D157" s="5">
        <v>43755</v>
      </c>
      <c r="E157" s="1" t="s">
        <v>117</v>
      </c>
      <c r="F157" s="1">
        <v>28659</v>
      </c>
      <c r="G157" s="1" t="s">
        <v>19</v>
      </c>
      <c r="H157" s="1" t="s">
        <v>113</v>
      </c>
      <c r="I157" s="1" t="s">
        <v>1</v>
      </c>
      <c r="J157" s="1">
        <v>1</v>
      </c>
      <c r="K157" s="1">
        <f>J157*(IF(I157=ProdFam[[#Headers],[Test]],(VLOOKUP(Data[[#This Row],[Product Family]],ProdFam[],3,FALSE)),(VLOOKUP(Data[[#This Row],[Product Family]],ProdFam[],2,FALSE))))</f>
        <v>32</v>
      </c>
      <c r="L157" s="1">
        <v>25</v>
      </c>
      <c r="M157" s="1">
        <v>1</v>
      </c>
      <c r="N157" s="7">
        <f>IFERROR(Data[[#This Row],[Actual Time]]/Data[[#This Row],[QTY Complete]],"")</f>
        <v>25</v>
      </c>
      <c r="O157" s="7">
        <f>IF(I157=ProdFam[[#Headers],[Test]],(VLOOKUP(Data[[#This Row],[Product Family]],ProdFam[],3,FALSE)),(VLOOKUP(Data[[#This Row],[Product Family]],ProdFam[],2,FALSE)))</f>
        <v>32</v>
      </c>
    </row>
    <row r="158" spans="2:15" x14ac:dyDescent="0.25">
      <c r="B158" s="1">
        <f>WEEKNUM(Data[[#This Row],[Date]],1)</f>
        <v>42</v>
      </c>
      <c r="C158" s="1">
        <f>YEAR(Data[[#This Row],[Date]])</f>
        <v>2019</v>
      </c>
      <c r="D158" s="5">
        <v>43755</v>
      </c>
      <c r="E158" s="1" t="s">
        <v>117</v>
      </c>
      <c r="F158" s="1">
        <v>28542</v>
      </c>
      <c r="G158" s="1" t="s">
        <v>28</v>
      </c>
      <c r="H158" s="1" t="s">
        <v>113</v>
      </c>
      <c r="I158" s="1" t="s">
        <v>1</v>
      </c>
      <c r="J158" s="1">
        <v>8</v>
      </c>
      <c r="K158" s="1">
        <f>J158*(IF(I158=ProdFam[[#Headers],[Test]],(VLOOKUP(Data[[#This Row],[Product Family]],ProdFam[],3,FALSE)),(VLOOKUP(Data[[#This Row],[Product Family]],ProdFam[],2,FALSE))))</f>
        <v>256</v>
      </c>
      <c r="L158" s="1">
        <v>115</v>
      </c>
      <c r="M158" s="1">
        <v>8</v>
      </c>
      <c r="N158" s="7">
        <f>IFERROR(Data[[#This Row],[Actual Time]]/Data[[#This Row],[QTY Complete]],"")</f>
        <v>14.375</v>
      </c>
      <c r="O158" s="7">
        <f>IF(I158=ProdFam[[#Headers],[Test]],(VLOOKUP(Data[[#This Row],[Product Family]],ProdFam[],3,FALSE)),(VLOOKUP(Data[[#This Row],[Product Family]],ProdFam[],2,FALSE)))</f>
        <v>32</v>
      </c>
    </row>
    <row r="159" spans="2:15" x14ac:dyDescent="0.25">
      <c r="B159" s="1">
        <f>WEEKNUM(Data[[#This Row],[Date]],1)</f>
        <v>42</v>
      </c>
      <c r="C159" s="1">
        <f>YEAR(Data[[#This Row],[Date]])</f>
        <v>2019</v>
      </c>
      <c r="D159" s="5">
        <v>43756</v>
      </c>
      <c r="E159" s="1" t="s">
        <v>118</v>
      </c>
      <c r="F159" s="1">
        <v>28502</v>
      </c>
      <c r="G159" s="1" t="s">
        <v>26</v>
      </c>
      <c r="H159" s="1" t="s">
        <v>113</v>
      </c>
      <c r="I159" s="1" t="s">
        <v>0</v>
      </c>
      <c r="J159" s="1">
        <v>6</v>
      </c>
      <c r="K159" s="1">
        <f>J159*(IF(I159=ProdFam[[#Headers],[Test]],(VLOOKUP(Data[[#This Row],[Product Family]],ProdFam[],3,FALSE)),(VLOOKUP(Data[[#This Row],[Product Family]],ProdFam[],2,FALSE))))</f>
        <v>282</v>
      </c>
      <c r="L159" s="1">
        <v>240</v>
      </c>
      <c r="M159" s="1">
        <v>6</v>
      </c>
      <c r="N159" s="7">
        <f>IFERROR(Data[[#This Row],[Actual Time]]/Data[[#This Row],[QTY Complete]],"")</f>
        <v>40</v>
      </c>
      <c r="O159" s="7">
        <f>IF(I159=ProdFam[[#Headers],[Test]],(VLOOKUP(Data[[#This Row],[Product Family]],ProdFam[],3,FALSE)),(VLOOKUP(Data[[#This Row],[Product Family]],ProdFam[],2,FALSE)))</f>
        <v>47</v>
      </c>
    </row>
    <row r="160" spans="2:15" x14ac:dyDescent="0.25">
      <c r="B160" s="1">
        <f>WEEKNUM(Data[[#This Row],[Date]],1)</f>
        <v>42</v>
      </c>
      <c r="C160" s="1">
        <f>YEAR(Data[[#This Row],[Date]])</f>
        <v>2019</v>
      </c>
      <c r="D160" s="5">
        <v>43756</v>
      </c>
      <c r="E160" s="1" t="s">
        <v>118</v>
      </c>
      <c r="F160" s="1">
        <v>28485</v>
      </c>
      <c r="G160" s="1" t="s">
        <v>58</v>
      </c>
      <c r="H160" s="1" t="s">
        <v>112</v>
      </c>
      <c r="I160" s="1" t="s">
        <v>0</v>
      </c>
      <c r="J160" s="1">
        <v>12</v>
      </c>
      <c r="K160" s="1">
        <f>J160*(IF(I160=ProdFam[[#Headers],[Test]],(VLOOKUP(Data[[#This Row],[Product Family]],ProdFam[],3,FALSE)),(VLOOKUP(Data[[#This Row],[Product Family]],ProdFam[],2,FALSE))))</f>
        <v>120</v>
      </c>
      <c r="L160" s="1">
        <v>40</v>
      </c>
      <c r="M160" s="1">
        <v>12</v>
      </c>
      <c r="N160" s="7">
        <f>IFERROR(Data[[#This Row],[Actual Time]]/Data[[#This Row],[QTY Complete]],"")</f>
        <v>3.3333333333333335</v>
      </c>
      <c r="O160" s="7">
        <f>IF(I160=ProdFam[[#Headers],[Test]],(VLOOKUP(Data[[#This Row],[Product Family]],ProdFam[],3,FALSE)),(VLOOKUP(Data[[#This Row],[Product Family]],ProdFam[],2,FALSE)))</f>
        <v>10</v>
      </c>
    </row>
    <row r="161" spans="2:15" x14ac:dyDescent="0.25">
      <c r="B161" s="1">
        <f>WEEKNUM(Data[[#This Row],[Date]],1)</f>
        <v>42</v>
      </c>
      <c r="C161" s="1">
        <f>YEAR(Data[[#This Row],[Date]])</f>
        <v>2019</v>
      </c>
      <c r="D161" s="5">
        <v>43756</v>
      </c>
      <c r="E161" s="1" t="s">
        <v>122</v>
      </c>
      <c r="F161" s="1">
        <v>28653</v>
      </c>
      <c r="G161" s="1" t="s">
        <v>51</v>
      </c>
      <c r="H161" s="1" t="s">
        <v>113</v>
      </c>
      <c r="I161" s="1" t="s">
        <v>0</v>
      </c>
      <c r="J161" s="1">
        <v>10</v>
      </c>
      <c r="K161" s="1">
        <f>J161*(IF(I161=ProdFam[[#Headers],[Test]],(VLOOKUP(Data[[#This Row],[Product Family]],ProdFam[],3,FALSE)),(VLOOKUP(Data[[#This Row],[Product Family]],ProdFam[],2,FALSE))))</f>
        <v>470</v>
      </c>
      <c r="L161" s="1">
        <v>210</v>
      </c>
      <c r="M161" s="1">
        <v>10</v>
      </c>
      <c r="N161" s="7">
        <f>IFERROR(Data[[#This Row],[Actual Time]]/Data[[#This Row],[QTY Complete]],"")</f>
        <v>21</v>
      </c>
      <c r="O161" s="7">
        <f>IF(I161=ProdFam[[#Headers],[Test]],(VLOOKUP(Data[[#This Row],[Product Family]],ProdFam[],3,FALSE)),(VLOOKUP(Data[[#This Row],[Product Family]],ProdFam[],2,FALSE)))</f>
        <v>47</v>
      </c>
    </row>
    <row r="162" spans="2:15" x14ac:dyDescent="0.25">
      <c r="B162" s="1">
        <f>WEEKNUM(Data[[#This Row],[Date]],1)</f>
        <v>42</v>
      </c>
      <c r="C162" s="1">
        <f>YEAR(Data[[#This Row],[Date]])</f>
        <v>2019</v>
      </c>
      <c r="D162" s="5">
        <v>43756</v>
      </c>
      <c r="E162" s="1" t="s">
        <v>122</v>
      </c>
      <c r="F162" s="1">
        <v>28603</v>
      </c>
      <c r="G162" s="1" t="s">
        <v>44</v>
      </c>
      <c r="H162" s="1" t="s">
        <v>113</v>
      </c>
      <c r="I162" s="1" t="s">
        <v>0</v>
      </c>
      <c r="J162" s="1">
        <v>5</v>
      </c>
      <c r="K162" s="1">
        <f>J162*(IF(I162=ProdFam[[#Headers],[Test]],(VLOOKUP(Data[[#This Row],[Product Family]],ProdFam[],3,FALSE)),(VLOOKUP(Data[[#This Row],[Product Family]],ProdFam[],2,FALSE))))</f>
        <v>235</v>
      </c>
      <c r="L162" s="1">
        <v>195</v>
      </c>
      <c r="M162" s="1">
        <v>5</v>
      </c>
      <c r="N162" s="7">
        <f>IFERROR(Data[[#This Row],[Actual Time]]/Data[[#This Row],[QTY Complete]],"")</f>
        <v>39</v>
      </c>
      <c r="O162" s="7">
        <f>IF(I162=ProdFam[[#Headers],[Test]],(VLOOKUP(Data[[#This Row],[Product Family]],ProdFam[],3,FALSE)),(VLOOKUP(Data[[#This Row],[Product Family]],ProdFam[],2,FALSE)))</f>
        <v>47</v>
      </c>
    </row>
    <row r="163" spans="2:15" x14ac:dyDescent="0.25">
      <c r="B163" s="1">
        <f>WEEKNUM(Data[[#This Row],[Date]],1)</f>
        <v>42</v>
      </c>
      <c r="C163" s="1">
        <f>YEAR(Data[[#This Row],[Date]])</f>
        <v>2019</v>
      </c>
      <c r="D163" s="5">
        <v>43756</v>
      </c>
      <c r="E163" s="1" t="s">
        <v>122</v>
      </c>
      <c r="F163" s="1">
        <v>28517</v>
      </c>
      <c r="G163" s="1" t="s">
        <v>8</v>
      </c>
      <c r="H163" s="1" t="s">
        <v>112</v>
      </c>
      <c r="I163" s="1" t="s">
        <v>0</v>
      </c>
      <c r="J163" s="1">
        <v>19</v>
      </c>
      <c r="K163" s="1">
        <f>J163*(IF(I163=ProdFam[[#Headers],[Test]],(VLOOKUP(Data[[#This Row],[Product Family]],ProdFam[],3,FALSE)),(VLOOKUP(Data[[#This Row],[Product Family]],ProdFam[],2,FALSE))))</f>
        <v>190</v>
      </c>
      <c r="L163" s="1">
        <v>105</v>
      </c>
      <c r="M163" s="1">
        <v>19</v>
      </c>
      <c r="N163" s="7">
        <f>IFERROR(Data[[#This Row],[Actual Time]]/Data[[#This Row],[QTY Complete]],"")</f>
        <v>5.5263157894736841</v>
      </c>
      <c r="O163" s="7">
        <f>IF(I163=ProdFam[[#Headers],[Test]],(VLOOKUP(Data[[#This Row],[Product Family]],ProdFam[],3,FALSE)),(VLOOKUP(Data[[#This Row],[Product Family]],ProdFam[],2,FALSE)))</f>
        <v>10</v>
      </c>
    </row>
    <row r="164" spans="2:15" x14ac:dyDescent="0.25">
      <c r="B164" s="1">
        <f>WEEKNUM(Data[[#This Row],[Date]],1)</f>
        <v>42</v>
      </c>
      <c r="C164" s="1">
        <f>YEAR(Data[[#This Row],[Date]])</f>
        <v>2019</v>
      </c>
      <c r="D164" s="5">
        <v>43756</v>
      </c>
      <c r="E164" s="1" t="s">
        <v>122</v>
      </c>
      <c r="F164" s="1">
        <v>28478</v>
      </c>
      <c r="G164" s="1" t="s">
        <v>60</v>
      </c>
      <c r="H164" s="1" t="s">
        <v>113</v>
      </c>
      <c r="I164" s="1" t="s">
        <v>0</v>
      </c>
      <c r="J164" s="1">
        <v>5</v>
      </c>
      <c r="K164" s="1">
        <f>J164*(IF(I164=ProdFam[[#Headers],[Test]],(VLOOKUP(Data[[#This Row],[Product Family]],ProdFam[],3,FALSE)),(VLOOKUP(Data[[#This Row],[Product Family]],ProdFam[],2,FALSE))))</f>
        <v>235</v>
      </c>
      <c r="L164" s="1">
        <v>195</v>
      </c>
      <c r="M164" s="1">
        <v>5</v>
      </c>
      <c r="N164" s="7">
        <f>IFERROR(Data[[#This Row],[Actual Time]]/Data[[#This Row],[QTY Complete]],"")</f>
        <v>39</v>
      </c>
      <c r="O164" s="7">
        <f>IF(I164=ProdFam[[#Headers],[Test]],(VLOOKUP(Data[[#This Row],[Product Family]],ProdFam[],3,FALSE)),(VLOOKUP(Data[[#This Row],[Product Family]],ProdFam[],2,FALSE)))</f>
        <v>47</v>
      </c>
    </row>
    <row r="165" spans="2:15" x14ac:dyDescent="0.25">
      <c r="B165" s="1">
        <f>WEEKNUM(Data[[#This Row],[Date]],1)</f>
        <v>42</v>
      </c>
      <c r="C165" s="1">
        <f>YEAR(Data[[#This Row],[Date]])</f>
        <v>2019</v>
      </c>
      <c r="D165" s="5">
        <v>43756</v>
      </c>
      <c r="E165" s="1" t="s">
        <v>127</v>
      </c>
      <c r="F165" s="1">
        <v>28601</v>
      </c>
      <c r="G165" s="1" t="s">
        <v>18</v>
      </c>
      <c r="H165" s="1" t="s">
        <v>115</v>
      </c>
      <c r="I165" s="1" t="s">
        <v>1</v>
      </c>
      <c r="J165" s="1">
        <v>10</v>
      </c>
      <c r="K165" s="1">
        <f>J165*(IF(I165=ProdFam[[#Headers],[Test]],(VLOOKUP(Data[[#This Row],[Product Family]],ProdFam[],3,FALSE)),(VLOOKUP(Data[[#This Row],[Product Family]],ProdFam[],2,FALSE))))</f>
        <v>240</v>
      </c>
      <c r="L165" s="1">
        <v>80</v>
      </c>
      <c r="M165" s="1">
        <v>5</v>
      </c>
      <c r="N165" s="7">
        <f>IFERROR(Data[[#This Row],[Actual Time]]/Data[[#This Row],[QTY Complete]],"")</f>
        <v>16</v>
      </c>
      <c r="O165" s="7">
        <f>IF(I165=ProdFam[[#Headers],[Test]],(VLOOKUP(Data[[#This Row],[Product Family]],ProdFam[],3,FALSE)),(VLOOKUP(Data[[#This Row],[Product Family]],ProdFam[],2,FALSE)))</f>
        <v>24</v>
      </c>
    </row>
    <row r="166" spans="2:15" x14ac:dyDescent="0.25">
      <c r="B166" s="1">
        <f>WEEKNUM(Data[[#This Row],[Date]],1)</f>
        <v>42</v>
      </c>
      <c r="C166" s="1">
        <f>YEAR(Data[[#This Row],[Date]])</f>
        <v>2019</v>
      </c>
      <c r="D166" s="5">
        <v>43756</v>
      </c>
      <c r="E166" s="1" t="s">
        <v>111</v>
      </c>
      <c r="F166" s="1">
        <v>28600</v>
      </c>
      <c r="G166" s="1" t="s">
        <v>51</v>
      </c>
      <c r="H166" s="1" t="s">
        <v>113</v>
      </c>
      <c r="I166" s="1" t="s">
        <v>1</v>
      </c>
      <c r="J166" s="1">
        <v>8</v>
      </c>
      <c r="K166" s="1">
        <f>J166*(IF(I166=ProdFam[[#Headers],[Test]],(VLOOKUP(Data[[#This Row],[Product Family]],ProdFam[],3,FALSE)),(VLOOKUP(Data[[#This Row],[Product Family]],ProdFam[],2,FALSE))))</f>
        <v>256</v>
      </c>
      <c r="L166" s="1">
        <v>240</v>
      </c>
      <c r="M166" s="1">
        <v>8</v>
      </c>
      <c r="N166" s="7">
        <f>IFERROR(Data[[#This Row],[Actual Time]]/Data[[#This Row],[QTY Complete]],"")</f>
        <v>30</v>
      </c>
      <c r="O166" s="7">
        <f>IF(I166=ProdFam[[#Headers],[Test]],(VLOOKUP(Data[[#This Row],[Product Family]],ProdFam[],3,FALSE)),(VLOOKUP(Data[[#This Row],[Product Family]],ProdFam[],2,FALSE)))</f>
        <v>32</v>
      </c>
    </row>
    <row r="167" spans="2:15" x14ac:dyDescent="0.25">
      <c r="B167" s="1">
        <f>WEEKNUM(Data[[#This Row],[Date]],1)</f>
        <v>42</v>
      </c>
      <c r="C167" s="1">
        <f>YEAR(Data[[#This Row],[Date]])</f>
        <v>2019</v>
      </c>
      <c r="D167" s="5">
        <v>43756</v>
      </c>
      <c r="E167" s="1" t="s">
        <v>111</v>
      </c>
      <c r="F167" s="1">
        <v>28403</v>
      </c>
      <c r="G167" s="1" t="s">
        <v>25</v>
      </c>
      <c r="H167" s="1" t="s">
        <v>113</v>
      </c>
      <c r="I167" s="1" t="s">
        <v>1</v>
      </c>
      <c r="J167" s="1">
        <v>10</v>
      </c>
      <c r="K167" s="1">
        <f>J167*(IF(I167=ProdFam[[#Headers],[Test]],(VLOOKUP(Data[[#This Row],[Product Family]],ProdFam[],3,FALSE)),(VLOOKUP(Data[[#This Row],[Product Family]],ProdFam[],2,FALSE))))</f>
        <v>320</v>
      </c>
      <c r="L167" s="1">
        <v>120</v>
      </c>
      <c r="M167" s="1">
        <v>10</v>
      </c>
      <c r="N167" s="7">
        <f>IFERROR(Data[[#This Row],[Actual Time]]/Data[[#This Row],[QTY Complete]],"")</f>
        <v>12</v>
      </c>
      <c r="O167" s="7">
        <f>IF(I167=ProdFam[[#Headers],[Test]],(VLOOKUP(Data[[#This Row],[Product Family]],ProdFam[],3,FALSE)),(VLOOKUP(Data[[#This Row],[Product Family]],ProdFam[],2,FALSE)))</f>
        <v>32</v>
      </c>
    </row>
    <row r="168" spans="2:15" x14ac:dyDescent="0.25">
      <c r="B168" s="1">
        <f>WEEKNUM(Data[[#This Row],[Date]],1)</f>
        <v>42</v>
      </c>
      <c r="C168" s="1">
        <f>YEAR(Data[[#This Row],[Date]])</f>
        <v>2019</v>
      </c>
      <c r="D168" s="5">
        <v>43756</v>
      </c>
      <c r="E168" s="1" t="s">
        <v>111</v>
      </c>
      <c r="F168" s="1">
        <v>28567</v>
      </c>
      <c r="G168" s="1" t="s">
        <v>52</v>
      </c>
      <c r="H168" s="1" t="s">
        <v>112</v>
      </c>
      <c r="I168" s="1" t="s">
        <v>0</v>
      </c>
      <c r="J168" s="1">
        <v>6</v>
      </c>
      <c r="K168" s="1">
        <f>J168*(IF(I168=ProdFam[[#Headers],[Test]],(VLOOKUP(Data[[#This Row],[Product Family]],ProdFam[],3,FALSE)),(VLOOKUP(Data[[#This Row],[Product Family]],ProdFam[],2,FALSE))))</f>
        <v>60</v>
      </c>
      <c r="L168" s="1">
        <v>20</v>
      </c>
      <c r="M168" s="1">
        <v>6</v>
      </c>
      <c r="N168" s="7">
        <f>IFERROR(Data[[#This Row],[Actual Time]]/Data[[#This Row],[QTY Complete]],"")</f>
        <v>3.3333333333333335</v>
      </c>
      <c r="O168" s="7">
        <f>IF(I168=ProdFam[[#Headers],[Test]],(VLOOKUP(Data[[#This Row],[Product Family]],ProdFam[],3,FALSE)),(VLOOKUP(Data[[#This Row],[Product Family]],ProdFam[],2,FALSE)))</f>
        <v>10</v>
      </c>
    </row>
    <row r="169" spans="2:15" x14ac:dyDescent="0.25">
      <c r="B169" s="1">
        <f>WEEKNUM(Data[[#This Row],[Date]],1)</f>
        <v>42</v>
      </c>
      <c r="C169" s="1">
        <f>YEAR(Data[[#This Row],[Date]])</f>
        <v>2019</v>
      </c>
      <c r="D169" s="5">
        <v>43756</v>
      </c>
      <c r="E169" s="1" t="s">
        <v>111</v>
      </c>
      <c r="F169" s="1">
        <v>28536</v>
      </c>
      <c r="G169" s="1" t="s">
        <v>54</v>
      </c>
      <c r="H169" s="1" t="s">
        <v>112</v>
      </c>
      <c r="I169" s="1" t="s">
        <v>0</v>
      </c>
      <c r="J169" s="1">
        <v>3</v>
      </c>
      <c r="K169" s="1">
        <f>J169*(IF(I169=ProdFam[[#Headers],[Test]],(VLOOKUP(Data[[#This Row],[Product Family]],ProdFam[],3,FALSE)),(VLOOKUP(Data[[#This Row],[Product Family]],ProdFam[],2,FALSE))))</f>
        <v>30</v>
      </c>
      <c r="L169" s="1">
        <v>4</v>
      </c>
      <c r="M169" s="1">
        <v>3</v>
      </c>
      <c r="N169" s="7">
        <f>IFERROR(Data[[#This Row],[Actual Time]]/Data[[#This Row],[QTY Complete]],"")</f>
        <v>1.3333333333333333</v>
      </c>
      <c r="O169" s="7">
        <f>IF(I169=ProdFam[[#Headers],[Test]],(VLOOKUP(Data[[#This Row],[Product Family]],ProdFam[],3,FALSE)),(VLOOKUP(Data[[#This Row],[Product Family]],ProdFam[],2,FALSE)))</f>
        <v>10</v>
      </c>
    </row>
    <row r="170" spans="2:15" x14ac:dyDescent="0.25">
      <c r="B170" s="1">
        <f>WEEKNUM(Data[[#This Row],[Date]],1)</f>
        <v>42</v>
      </c>
      <c r="C170" s="1">
        <f>YEAR(Data[[#This Row],[Date]])</f>
        <v>2019</v>
      </c>
      <c r="D170" s="5">
        <v>43756</v>
      </c>
      <c r="E170" s="1" t="s">
        <v>111</v>
      </c>
      <c r="F170" s="1">
        <v>28487</v>
      </c>
      <c r="G170" s="1" t="s">
        <v>49</v>
      </c>
      <c r="H170" s="1" t="s">
        <v>112</v>
      </c>
      <c r="I170" s="1" t="s">
        <v>0</v>
      </c>
      <c r="J170" s="1">
        <v>12</v>
      </c>
      <c r="K170" s="1">
        <f>J170*(IF(I170=ProdFam[[#Headers],[Test]],(VLOOKUP(Data[[#This Row],[Product Family]],ProdFam[],3,FALSE)),(VLOOKUP(Data[[#This Row],[Product Family]],ProdFam[],2,FALSE))))</f>
        <v>120</v>
      </c>
      <c r="L170" s="1">
        <v>20</v>
      </c>
      <c r="M170" s="1">
        <v>12</v>
      </c>
      <c r="N170" s="7">
        <f>IFERROR(Data[[#This Row],[Actual Time]]/Data[[#This Row],[QTY Complete]],"")</f>
        <v>1.6666666666666667</v>
      </c>
      <c r="O170" s="7">
        <f>IF(I170=ProdFam[[#Headers],[Test]],(VLOOKUP(Data[[#This Row],[Product Family]],ProdFam[],3,FALSE)),(VLOOKUP(Data[[#This Row],[Product Family]],ProdFam[],2,FALSE)))</f>
        <v>10</v>
      </c>
    </row>
    <row r="171" spans="2:15" x14ac:dyDescent="0.25">
      <c r="B171" s="1">
        <f>WEEKNUM(Data[[#This Row],[Date]],1)</f>
        <v>42</v>
      </c>
      <c r="C171" s="1">
        <f>YEAR(Data[[#This Row],[Date]])</f>
        <v>2019</v>
      </c>
      <c r="D171" s="5">
        <v>43756</v>
      </c>
      <c r="E171" s="1" t="s">
        <v>111</v>
      </c>
      <c r="F171" s="1">
        <v>28608</v>
      </c>
      <c r="G171" s="1" t="s">
        <v>59</v>
      </c>
      <c r="H171" s="1" t="s">
        <v>113</v>
      </c>
      <c r="I171" s="1" t="s">
        <v>1</v>
      </c>
      <c r="J171" s="1">
        <v>1</v>
      </c>
      <c r="K171" s="1">
        <f>J171*(IF(I171=ProdFam[[#Headers],[Test]],(VLOOKUP(Data[[#This Row],[Product Family]],ProdFam[],3,FALSE)),(VLOOKUP(Data[[#This Row],[Product Family]],ProdFam[],2,FALSE))))</f>
        <v>32</v>
      </c>
      <c r="L171" s="1">
        <v>30</v>
      </c>
      <c r="M171" s="1">
        <v>1</v>
      </c>
      <c r="N171" s="7">
        <f>IFERROR(Data[[#This Row],[Actual Time]]/Data[[#This Row],[QTY Complete]],"")</f>
        <v>30</v>
      </c>
      <c r="O171" s="7">
        <f>IF(I171=ProdFam[[#Headers],[Test]],(VLOOKUP(Data[[#This Row],[Product Family]],ProdFam[],3,FALSE)),(VLOOKUP(Data[[#This Row],[Product Family]],ProdFam[],2,FALSE)))</f>
        <v>32</v>
      </c>
    </row>
    <row r="172" spans="2:15" x14ac:dyDescent="0.25">
      <c r="B172" s="1">
        <f>WEEKNUM(Data[[#This Row],[Date]],1)</f>
        <v>42</v>
      </c>
      <c r="C172" s="1">
        <f>YEAR(Data[[#This Row],[Date]])</f>
        <v>2019</v>
      </c>
      <c r="D172" s="5">
        <v>43756</v>
      </c>
      <c r="E172" s="1" t="s">
        <v>117</v>
      </c>
      <c r="F172" s="1">
        <v>28698</v>
      </c>
      <c r="G172" s="1" t="s">
        <v>28</v>
      </c>
      <c r="H172" s="1" t="s">
        <v>113</v>
      </c>
      <c r="I172" s="1" t="s">
        <v>1</v>
      </c>
      <c r="J172" s="1">
        <v>1</v>
      </c>
      <c r="K172" s="1">
        <f>J172*(IF(I172=ProdFam[[#Headers],[Test]],(VLOOKUP(Data[[#This Row],[Product Family]],ProdFam[],3,FALSE)),(VLOOKUP(Data[[#This Row],[Product Family]],ProdFam[],2,FALSE))))</f>
        <v>32</v>
      </c>
      <c r="L172" s="1">
        <v>40</v>
      </c>
      <c r="M172" s="1">
        <v>1</v>
      </c>
      <c r="N172" s="7">
        <f>IFERROR(Data[[#This Row],[Actual Time]]/Data[[#This Row],[QTY Complete]],"")</f>
        <v>40</v>
      </c>
      <c r="O172" s="7">
        <f>IF(I172=ProdFam[[#Headers],[Test]],(VLOOKUP(Data[[#This Row],[Product Family]],ProdFam[],3,FALSE)),(VLOOKUP(Data[[#This Row],[Product Family]],ProdFam[],2,FALSE)))</f>
        <v>32</v>
      </c>
    </row>
    <row r="173" spans="2:15" x14ac:dyDescent="0.25">
      <c r="B173" s="1">
        <f>WEEKNUM(Data[[#This Row],[Date]],1)</f>
        <v>42</v>
      </c>
      <c r="C173" s="1">
        <f>YEAR(Data[[#This Row],[Date]])</f>
        <v>2019</v>
      </c>
      <c r="D173" s="5">
        <v>43756</v>
      </c>
      <c r="E173" s="1" t="s">
        <v>119</v>
      </c>
      <c r="F173" s="1">
        <v>28698</v>
      </c>
      <c r="G173" s="1" t="s">
        <v>28</v>
      </c>
      <c r="H173" s="1" t="s">
        <v>113</v>
      </c>
      <c r="I173" s="1" t="s">
        <v>0</v>
      </c>
      <c r="J173" s="1">
        <v>10</v>
      </c>
      <c r="K173" s="1">
        <f>J173*(IF(I173=ProdFam[[#Headers],[Test]],(VLOOKUP(Data[[#This Row],[Product Family]],ProdFam[],3,FALSE)),(VLOOKUP(Data[[#This Row],[Product Family]],ProdFam[],2,FALSE))))</f>
        <v>470</v>
      </c>
      <c r="L173" s="1">
        <v>335</v>
      </c>
      <c r="M173" s="1">
        <v>10</v>
      </c>
      <c r="N173" s="7">
        <f>IFERROR(Data[[#This Row],[Actual Time]]/Data[[#This Row],[QTY Complete]],"")</f>
        <v>33.5</v>
      </c>
      <c r="O173" s="7">
        <f>IF(I173=ProdFam[[#Headers],[Test]],(VLOOKUP(Data[[#This Row],[Product Family]],ProdFam[],3,FALSE)),(VLOOKUP(Data[[#This Row],[Product Family]],ProdFam[],2,FALSE)))</f>
        <v>47</v>
      </c>
    </row>
    <row r="174" spans="2:15" x14ac:dyDescent="0.25">
      <c r="B174" s="1">
        <f>WEEKNUM(Data[[#This Row],[Date]],1)</f>
        <v>42</v>
      </c>
      <c r="C174" s="1">
        <f>YEAR(Data[[#This Row],[Date]])</f>
        <v>2019</v>
      </c>
      <c r="D174" s="5">
        <v>43757</v>
      </c>
      <c r="E174" s="1" t="s">
        <v>122</v>
      </c>
      <c r="F174" s="1">
        <v>28543</v>
      </c>
      <c r="G174" s="1" t="s">
        <v>8</v>
      </c>
      <c r="H174" s="1" t="s">
        <v>112</v>
      </c>
      <c r="I174" s="1" t="s">
        <v>0</v>
      </c>
      <c r="J174" s="1">
        <v>21</v>
      </c>
      <c r="K174" s="1">
        <f>J174*(IF(I174=ProdFam[[#Headers],[Test]],(VLOOKUP(Data[[#This Row],[Product Family]],ProdFam[],3,FALSE)),(VLOOKUP(Data[[#This Row],[Product Family]],ProdFam[],2,FALSE))))</f>
        <v>210</v>
      </c>
      <c r="L174" s="1">
        <v>180</v>
      </c>
      <c r="M174" s="1">
        <v>21</v>
      </c>
      <c r="N174" s="7">
        <f>IFERROR(Data[[#This Row],[Actual Time]]/Data[[#This Row],[QTY Complete]],"")</f>
        <v>8.5714285714285712</v>
      </c>
      <c r="O174" s="7">
        <f>IF(I174=ProdFam[[#Headers],[Test]],(VLOOKUP(Data[[#This Row],[Product Family]],ProdFam[],3,FALSE)),(VLOOKUP(Data[[#This Row],[Product Family]],ProdFam[],2,FALSE)))</f>
        <v>10</v>
      </c>
    </row>
    <row r="175" spans="2:15" x14ac:dyDescent="0.25">
      <c r="B175" s="1">
        <f>WEEKNUM(Data[[#This Row],[Date]],1)</f>
        <v>42</v>
      </c>
      <c r="C175" s="1">
        <f>YEAR(Data[[#This Row],[Date]])</f>
        <v>2019</v>
      </c>
      <c r="D175" s="5">
        <v>43757</v>
      </c>
      <c r="E175" s="1" t="s">
        <v>122</v>
      </c>
      <c r="F175" s="1">
        <v>28525</v>
      </c>
      <c r="G175" s="1" t="s">
        <v>49</v>
      </c>
      <c r="H175" s="1" t="s">
        <v>112</v>
      </c>
      <c r="I175" s="1" t="s">
        <v>0</v>
      </c>
      <c r="J175" s="1">
        <v>12</v>
      </c>
      <c r="K175" s="1">
        <f>J175*(IF(I175=ProdFam[[#Headers],[Test]],(VLOOKUP(Data[[#This Row],[Product Family]],ProdFam[],3,FALSE)),(VLOOKUP(Data[[#This Row],[Product Family]],ProdFam[],2,FALSE))))</f>
        <v>120</v>
      </c>
      <c r="L175" s="1">
        <v>90</v>
      </c>
      <c r="M175" s="1">
        <v>12</v>
      </c>
      <c r="N175" s="7">
        <f>IFERROR(Data[[#This Row],[Actual Time]]/Data[[#This Row],[QTY Complete]],"")</f>
        <v>7.5</v>
      </c>
      <c r="O175" s="7">
        <f>IF(I175=ProdFam[[#Headers],[Test]],(VLOOKUP(Data[[#This Row],[Product Family]],ProdFam[],3,FALSE)),(VLOOKUP(Data[[#This Row],[Product Family]],ProdFam[],2,FALSE)))</f>
        <v>10</v>
      </c>
    </row>
    <row r="176" spans="2:15" x14ac:dyDescent="0.25">
      <c r="B176" s="1">
        <f>WEEKNUM(Data[[#This Row],[Date]],1)</f>
        <v>42</v>
      </c>
      <c r="C176" s="1">
        <f>YEAR(Data[[#This Row],[Date]])</f>
        <v>2019</v>
      </c>
      <c r="D176" s="5">
        <v>43757</v>
      </c>
      <c r="E176" s="1" t="s">
        <v>122</v>
      </c>
      <c r="F176" s="1">
        <v>28518</v>
      </c>
      <c r="G176" s="1" t="s">
        <v>2</v>
      </c>
      <c r="H176" s="1" t="s">
        <v>112</v>
      </c>
      <c r="I176" s="1" t="s">
        <v>0</v>
      </c>
      <c r="J176" s="1">
        <v>9</v>
      </c>
      <c r="K176" s="1">
        <f>J176*(IF(I176=ProdFam[[#Headers],[Test]],(VLOOKUP(Data[[#This Row],[Product Family]],ProdFam[],3,FALSE)),(VLOOKUP(Data[[#This Row],[Product Family]],ProdFam[],2,FALSE))))</f>
        <v>90</v>
      </c>
      <c r="L176" s="1">
        <v>15</v>
      </c>
      <c r="M176" s="1">
        <v>0</v>
      </c>
      <c r="N176" s="7" t="str">
        <f>IFERROR(Data[[#This Row],[Actual Time]]/Data[[#This Row],[QTY Complete]],"")</f>
        <v/>
      </c>
      <c r="O176" s="7">
        <f>IF(I176=ProdFam[[#Headers],[Test]],(VLOOKUP(Data[[#This Row],[Product Family]],ProdFam[],3,FALSE)),(VLOOKUP(Data[[#This Row],[Product Family]],ProdFam[],2,FALSE)))</f>
        <v>10</v>
      </c>
    </row>
    <row r="177" spans="2:15" x14ac:dyDescent="0.25">
      <c r="B177" s="1">
        <f>WEEKNUM(Data[[#This Row],[Date]],1)</f>
        <v>42</v>
      </c>
      <c r="C177" s="1">
        <f>YEAR(Data[[#This Row],[Date]])</f>
        <v>2019</v>
      </c>
      <c r="D177" s="5">
        <v>43757</v>
      </c>
      <c r="E177" s="1" t="s">
        <v>111</v>
      </c>
      <c r="F177" s="1">
        <v>28403</v>
      </c>
      <c r="G177" s="1" t="s">
        <v>25</v>
      </c>
      <c r="H177" s="1" t="s">
        <v>113</v>
      </c>
      <c r="I177" s="1" t="s">
        <v>1</v>
      </c>
      <c r="J177" s="1">
        <v>10</v>
      </c>
      <c r="K177" s="1">
        <f>J177*(IF(I177=ProdFam[[#Headers],[Test]],(VLOOKUP(Data[[#This Row],[Product Family]],ProdFam[],3,FALSE)),(VLOOKUP(Data[[#This Row],[Product Family]],ProdFam[],2,FALSE))))</f>
        <v>320</v>
      </c>
      <c r="L177" s="1">
        <v>120</v>
      </c>
      <c r="M177" s="1">
        <v>10</v>
      </c>
      <c r="N177" s="7">
        <f>IFERROR(Data[[#This Row],[Actual Time]]/Data[[#This Row],[QTY Complete]],"")</f>
        <v>12</v>
      </c>
      <c r="O177" s="7">
        <f>IF(I177=ProdFam[[#Headers],[Test]],(VLOOKUP(Data[[#This Row],[Product Family]],ProdFam[],3,FALSE)),(VLOOKUP(Data[[#This Row],[Product Family]],ProdFam[],2,FALSE)))</f>
        <v>32</v>
      </c>
    </row>
    <row r="178" spans="2:15" x14ac:dyDescent="0.25">
      <c r="B178" s="1">
        <f>WEEKNUM(Data[[#This Row],[Date]],1)</f>
        <v>42</v>
      </c>
      <c r="C178" s="1">
        <f>YEAR(Data[[#This Row],[Date]])</f>
        <v>2019</v>
      </c>
      <c r="D178" s="5">
        <v>43757</v>
      </c>
      <c r="E178" s="1" t="s">
        <v>111</v>
      </c>
      <c r="F178" s="1">
        <v>28524</v>
      </c>
      <c r="G178" s="1" t="s">
        <v>11</v>
      </c>
      <c r="H178" s="1" t="s">
        <v>113</v>
      </c>
      <c r="I178" s="1" t="s">
        <v>1</v>
      </c>
      <c r="J178" s="1">
        <v>6</v>
      </c>
      <c r="K178" s="1">
        <f>J178*(IF(I178=ProdFam[[#Headers],[Test]],(VLOOKUP(Data[[#This Row],[Product Family]],ProdFam[],3,FALSE)),(VLOOKUP(Data[[#This Row],[Product Family]],ProdFam[],2,FALSE))))</f>
        <v>192</v>
      </c>
      <c r="L178" s="1">
        <v>60</v>
      </c>
      <c r="M178" s="1">
        <v>6</v>
      </c>
      <c r="N178" s="7">
        <f>IFERROR(Data[[#This Row],[Actual Time]]/Data[[#This Row],[QTY Complete]],"")</f>
        <v>10</v>
      </c>
      <c r="O178" s="7">
        <f>IF(I178=ProdFam[[#Headers],[Test]],(VLOOKUP(Data[[#This Row],[Product Family]],ProdFam[],3,FALSE)),(VLOOKUP(Data[[#This Row],[Product Family]],ProdFam[],2,FALSE)))</f>
        <v>32</v>
      </c>
    </row>
    <row r="179" spans="2:15" x14ac:dyDescent="0.25">
      <c r="B179" s="1">
        <f>WEEKNUM(Data[[#This Row],[Date]],1)</f>
        <v>42</v>
      </c>
      <c r="C179" s="1">
        <f>YEAR(Data[[#This Row],[Date]])</f>
        <v>2019</v>
      </c>
      <c r="D179" s="5">
        <v>43757</v>
      </c>
      <c r="E179" s="1" t="s">
        <v>117</v>
      </c>
      <c r="F179" s="1">
        <v>28698</v>
      </c>
      <c r="G179" s="1" t="s">
        <v>28</v>
      </c>
      <c r="H179" s="1" t="s">
        <v>113</v>
      </c>
      <c r="I179" s="1" t="s">
        <v>1</v>
      </c>
      <c r="J179" s="1">
        <v>10</v>
      </c>
      <c r="K179" s="1">
        <f>J179*(IF(I179=ProdFam[[#Headers],[Test]],(VLOOKUP(Data[[#This Row],[Product Family]],ProdFam[],3,FALSE)),(VLOOKUP(Data[[#This Row],[Product Family]],ProdFam[],2,FALSE))))</f>
        <v>320</v>
      </c>
      <c r="L179" s="1">
        <v>50</v>
      </c>
      <c r="M179" s="1">
        <v>1</v>
      </c>
      <c r="N179" s="7">
        <f>IFERROR(Data[[#This Row],[Actual Time]]/Data[[#This Row],[QTY Complete]],"")</f>
        <v>50</v>
      </c>
      <c r="O179" s="7">
        <f>IF(I179=ProdFam[[#Headers],[Test]],(VLOOKUP(Data[[#This Row],[Product Family]],ProdFam[],3,FALSE)),(VLOOKUP(Data[[#This Row],[Product Family]],ProdFam[],2,FALSE)))</f>
        <v>32</v>
      </c>
    </row>
    <row r="180" spans="2:15" x14ac:dyDescent="0.25">
      <c r="B180" s="1">
        <f>WEEKNUM(Data[[#This Row],[Date]],1)</f>
        <v>42</v>
      </c>
      <c r="C180" s="1">
        <f>YEAR(Data[[#This Row],[Date]])</f>
        <v>2019</v>
      </c>
      <c r="D180" s="5">
        <v>43757</v>
      </c>
      <c r="E180" s="1" t="s">
        <v>119</v>
      </c>
      <c r="F180" s="1">
        <v>28526</v>
      </c>
      <c r="G180" s="1" t="s">
        <v>50</v>
      </c>
      <c r="H180" s="1" t="s">
        <v>113</v>
      </c>
      <c r="I180" s="1" t="s">
        <v>0</v>
      </c>
      <c r="J180" s="1">
        <v>3</v>
      </c>
      <c r="K180" s="1">
        <f>J180*(IF(I180=ProdFam[[#Headers],[Test]],(VLOOKUP(Data[[#This Row],[Product Family]],ProdFam[],3,FALSE)),(VLOOKUP(Data[[#This Row],[Product Family]],ProdFam[],2,FALSE))))</f>
        <v>141</v>
      </c>
      <c r="L180" s="1">
        <v>90</v>
      </c>
      <c r="M180" s="1">
        <v>3</v>
      </c>
      <c r="N180" s="7">
        <f>IFERROR(Data[[#This Row],[Actual Time]]/Data[[#This Row],[QTY Complete]],"")</f>
        <v>30</v>
      </c>
      <c r="O180" s="7">
        <f>IF(I180=ProdFam[[#Headers],[Test]],(VLOOKUP(Data[[#This Row],[Product Family]],ProdFam[],3,FALSE)),(VLOOKUP(Data[[#This Row],[Product Family]],ProdFam[],2,FALSE)))</f>
        <v>47</v>
      </c>
    </row>
    <row r="181" spans="2:15" x14ac:dyDescent="0.25">
      <c r="B181" s="1">
        <f>WEEKNUM(Data[[#This Row],[Date]],1)</f>
        <v>42</v>
      </c>
      <c r="C181" s="1">
        <f>YEAR(Data[[#This Row],[Date]])</f>
        <v>2019</v>
      </c>
      <c r="D181" s="5">
        <v>43757</v>
      </c>
      <c r="E181" s="1" t="s">
        <v>119</v>
      </c>
      <c r="F181" s="1">
        <v>28501</v>
      </c>
      <c r="G181" s="1" t="s">
        <v>11</v>
      </c>
      <c r="H181" s="1" t="s">
        <v>113</v>
      </c>
      <c r="I181" s="1" t="s">
        <v>0</v>
      </c>
      <c r="J181" s="1">
        <v>3</v>
      </c>
      <c r="K181" s="1">
        <f>J181*(IF(I181=ProdFam[[#Headers],[Test]],(VLOOKUP(Data[[#This Row],[Product Family]],ProdFam[],3,FALSE)),(VLOOKUP(Data[[#This Row],[Product Family]],ProdFam[],2,FALSE))))</f>
        <v>141</v>
      </c>
      <c r="L181" s="1">
        <v>120</v>
      </c>
      <c r="M181" s="1">
        <v>3</v>
      </c>
      <c r="N181" s="7">
        <f>IFERROR(Data[[#This Row],[Actual Time]]/Data[[#This Row],[QTY Complete]],"")</f>
        <v>40</v>
      </c>
      <c r="O181" s="7">
        <f>IF(I181=ProdFam[[#Headers],[Test]],(VLOOKUP(Data[[#This Row],[Product Family]],ProdFam[],3,FALSE)),(VLOOKUP(Data[[#This Row],[Product Family]],ProdFam[],2,FALSE)))</f>
        <v>47</v>
      </c>
    </row>
    <row r="182" spans="2:15" x14ac:dyDescent="0.25">
      <c r="B182" s="1">
        <f>WEEKNUM(Data[[#This Row],[Date]],1)</f>
        <v>42</v>
      </c>
      <c r="C182" s="1">
        <f>YEAR(Data[[#This Row],[Date]])</f>
        <v>2019</v>
      </c>
      <c r="D182" s="5">
        <v>43757</v>
      </c>
      <c r="E182" s="1" t="s">
        <v>119</v>
      </c>
      <c r="F182" s="1">
        <v>28604</v>
      </c>
      <c r="G182" s="1" t="s">
        <v>25</v>
      </c>
      <c r="H182" s="1" t="s">
        <v>113</v>
      </c>
      <c r="I182" s="1" t="s">
        <v>0</v>
      </c>
      <c r="J182" s="1">
        <v>10</v>
      </c>
      <c r="K182" s="1">
        <f>J182*(IF(I182=ProdFam[[#Headers],[Test]],(VLOOKUP(Data[[#This Row],[Product Family]],ProdFam[],3,FALSE)),(VLOOKUP(Data[[#This Row],[Product Family]],ProdFam[],2,FALSE))))</f>
        <v>470</v>
      </c>
      <c r="L182" s="1">
        <v>70</v>
      </c>
      <c r="M182" s="1">
        <v>0</v>
      </c>
      <c r="N182" s="7" t="str">
        <f>IFERROR(Data[[#This Row],[Actual Time]]/Data[[#This Row],[QTY Complete]],"")</f>
        <v/>
      </c>
      <c r="O182" s="7">
        <f>IF(I182=ProdFam[[#Headers],[Test]],(VLOOKUP(Data[[#This Row],[Product Family]],ProdFam[],3,FALSE)),(VLOOKUP(Data[[#This Row],[Product Family]],ProdFam[],2,FALSE)))</f>
        <v>47</v>
      </c>
    </row>
    <row r="183" spans="2:15" x14ac:dyDescent="0.25">
      <c r="B183" s="1">
        <f>WEEKNUM(Data[[#This Row],[Date]],1)</f>
        <v>43</v>
      </c>
      <c r="C183" s="1">
        <f>YEAR(Data[[#This Row],[Date]])</f>
        <v>2019</v>
      </c>
      <c r="D183" s="5">
        <v>43759</v>
      </c>
      <c r="E183" s="1" t="s">
        <v>119</v>
      </c>
      <c r="F183" s="1">
        <v>28604</v>
      </c>
      <c r="G183" s="1" t="s">
        <v>25</v>
      </c>
      <c r="H183" s="1" t="s">
        <v>113</v>
      </c>
      <c r="I183" s="1" t="s">
        <v>0</v>
      </c>
      <c r="J183" s="1">
        <v>10</v>
      </c>
      <c r="K183" s="1">
        <f>J183*(IF(I183=ProdFam[[#Headers],[Test]],(VLOOKUP(Data[[#This Row],[Product Family]],ProdFam[],3,FALSE)),(VLOOKUP(Data[[#This Row],[Product Family]],ProdFam[],2,FALSE))))</f>
        <v>470</v>
      </c>
      <c r="L183" s="1">
        <v>220</v>
      </c>
      <c r="M183" s="1">
        <v>10</v>
      </c>
      <c r="N183" s="7">
        <f>IFERROR(Data[[#This Row],[Actual Time]]/Data[[#This Row],[QTY Complete]],"")</f>
        <v>22</v>
      </c>
      <c r="O183" s="7">
        <f>IF(I183=ProdFam[[#Headers],[Test]],(VLOOKUP(Data[[#This Row],[Product Family]],ProdFam[],3,FALSE)),(VLOOKUP(Data[[#This Row],[Product Family]],ProdFam[],2,FALSE)))</f>
        <v>47</v>
      </c>
    </row>
    <row r="184" spans="2:15" x14ac:dyDescent="0.25">
      <c r="B184" s="1">
        <f>WEEKNUM(Data[[#This Row],[Date]],1)</f>
        <v>43</v>
      </c>
      <c r="C184" s="1">
        <f>YEAR(Data[[#This Row],[Date]])</f>
        <v>2019</v>
      </c>
      <c r="D184" s="5">
        <v>43759</v>
      </c>
      <c r="E184" s="1" t="s">
        <v>119</v>
      </c>
      <c r="F184" s="1">
        <v>28517</v>
      </c>
      <c r="G184" s="1" t="s">
        <v>8</v>
      </c>
      <c r="H184" s="1" t="s">
        <v>112</v>
      </c>
      <c r="I184" s="1" t="s">
        <v>0</v>
      </c>
      <c r="J184" s="1">
        <v>19</v>
      </c>
      <c r="K184" s="1">
        <f>J184*(IF(I184=ProdFam[[#Headers],[Test]],(VLOOKUP(Data[[#This Row],[Product Family]],ProdFam[],3,FALSE)),(VLOOKUP(Data[[#This Row],[Product Family]],ProdFam[],2,FALSE))))</f>
        <v>190</v>
      </c>
      <c r="L184" s="1">
        <v>60</v>
      </c>
      <c r="M184" s="1">
        <v>19</v>
      </c>
      <c r="N184" s="7">
        <f>IFERROR(Data[[#This Row],[Actual Time]]/Data[[#This Row],[QTY Complete]],"")</f>
        <v>3.1578947368421053</v>
      </c>
      <c r="O184" s="7">
        <f>IF(I184=ProdFam[[#Headers],[Test]],(VLOOKUP(Data[[#This Row],[Product Family]],ProdFam[],3,FALSE)),(VLOOKUP(Data[[#This Row],[Product Family]],ProdFam[],2,FALSE)))</f>
        <v>10</v>
      </c>
    </row>
    <row r="185" spans="2:15" x14ac:dyDescent="0.25">
      <c r="B185" s="1">
        <f>WEEKNUM(Data[[#This Row],[Date]],1)</f>
        <v>43</v>
      </c>
      <c r="C185" s="1">
        <f>YEAR(Data[[#This Row],[Date]])</f>
        <v>2019</v>
      </c>
      <c r="D185" s="5">
        <v>43759</v>
      </c>
      <c r="E185" s="1" t="s">
        <v>119</v>
      </c>
      <c r="F185" s="1">
        <v>28543</v>
      </c>
      <c r="G185" s="1" t="s">
        <v>8</v>
      </c>
      <c r="H185" s="1" t="s">
        <v>112</v>
      </c>
      <c r="I185" s="1" t="s">
        <v>0</v>
      </c>
      <c r="J185" s="1">
        <v>21</v>
      </c>
      <c r="K185" s="1">
        <f>J185*(IF(I185=ProdFam[[#Headers],[Test]],(VLOOKUP(Data[[#This Row],[Product Family]],ProdFam[],3,FALSE)),(VLOOKUP(Data[[#This Row],[Product Family]],ProdFam[],2,FALSE))))</f>
        <v>210</v>
      </c>
      <c r="L185" s="1">
        <v>30</v>
      </c>
      <c r="M185" s="1">
        <v>21</v>
      </c>
      <c r="N185" s="7">
        <f>IFERROR(Data[[#This Row],[Actual Time]]/Data[[#This Row],[QTY Complete]],"")</f>
        <v>1.4285714285714286</v>
      </c>
      <c r="O185" s="7">
        <f>IF(I185=ProdFam[[#Headers],[Test]],(VLOOKUP(Data[[#This Row],[Product Family]],ProdFam[],3,FALSE)),(VLOOKUP(Data[[#This Row],[Product Family]],ProdFam[],2,FALSE)))</f>
        <v>10</v>
      </c>
    </row>
    <row r="186" spans="2:15" x14ac:dyDescent="0.25">
      <c r="B186" s="1">
        <f>WEEKNUM(Data[[#This Row],[Date]],1)</f>
        <v>43</v>
      </c>
      <c r="C186" s="1">
        <f>YEAR(Data[[#This Row],[Date]])</f>
        <v>2019</v>
      </c>
      <c r="D186" s="5">
        <v>43759</v>
      </c>
      <c r="E186" s="1" t="s">
        <v>119</v>
      </c>
      <c r="F186" s="1">
        <v>28541</v>
      </c>
      <c r="G186" s="1" t="s">
        <v>58</v>
      </c>
      <c r="H186" s="1" t="s">
        <v>112</v>
      </c>
      <c r="I186" s="1" t="s">
        <v>0</v>
      </c>
      <c r="J186" s="1">
        <v>12</v>
      </c>
      <c r="K186" s="1">
        <f>J186*(IF(I186=ProdFam[[#Headers],[Test]],(VLOOKUP(Data[[#This Row],[Product Family]],ProdFam[],3,FALSE)),(VLOOKUP(Data[[#This Row],[Product Family]],ProdFam[],2,FALSE))))</f>
        <v>120</v>
      </c>
      <c r="L186" s="1">
        <v>85</v>
      </c>
      <c r="M186" s="1">
        <v>12</v>
      </c>
      <c r="N186" s="7">
        <f>IFERROR(Data[[#This Row],[Actual Time]]/Data[[#This Row],[QTY Complete]],"")</f>
        <v>7.083333333333333</v>
      </c>
      <c r="O186" s="7">
        <f>IF(I186=ProdFam[[#Headers],[Test]],(VLOOKUP(Data[[#This Row],[Product Family]],ProdFam[],3,FALSE)),(VLOOKUP(Data[[#This Row],[Product Family]],ProdFam[],2,FALSE)))</f>
        <v>10</v>
      </c>
    </row>
    <row r="187" spans="2:15" x14ac:dyDescent="0.25">
      <c r="B187" s="1">
        <f>WEEKNUM(Data[[#This Row],[Date]],1)</f>
        <v>43</v>
      </c>
      <c r="C187" s="1">
        <f>YEAR(Data[[#This Row],[Date]])</f>
        <v>2019</v>
      </c>
      <c r="D187" s="5">
        <v>43759</v>
      </c>
      <c r="E187" s="1" t="s">
        <v>119</v>
      </c>
      <c r="F187" s="1">
        <v>28525</v>
      </c>
      <c r="G187" s="1" t="s">
        <v>49</v>
      </c>
      <c r="H187" s="1" t="s">
        <v>112</v>
      </c>
      <c r="I187" s="1" t="s">
        <v>0</v>
      </c>
      <c r="J187" s="1">
        <v>12</v>
      </c>
      <c r="K187" s="1">
        <f>J187*(IF(I187=ProdFam[[#Headers],[Test]],(VLOOKUP(Data[[#This Row],[Product Family]],ProdFam[],3,FALSE)),(VLOOKUP(Data[[#This Row],[Product Family]],ProdFam[],2,FALSE))))</f>
        <v>120</v>
      </c>
      <c r="L187" s="1">
        <v>55</v>
      </c>
      <c r="M187" s="1">
        <v>6</v>
      </c>
      <c r="N187" s="7">
        <f>IFERROR(Data[[#This Row],[Actual Time]]/Data[[#This Row],[QTY Complete]],"")</f>
        <v>9.1666666666666661</v>
      </c>
      <c r="O187" s="7">
        <f>IF(I187=ProdFam[[#Headers],[Test]],(VLOOKUP(Data[[#This Row],[Product Family]],ProdFam[],3,FALSE)),(VLOOKUP(Data[[#This Row],[Product Family]],ProdFam[],2,FALSE)))</f>
        <v>10</v>
      </c>
    </row>
    <row r="188" spans="2:15" x14ac:dyDescent="0.25">
      <c r="B188" s="1">
        <f>WEEKNUM(Data[[#This Row],[Date]],1)</f>
        <v>43</v>
      </c>
      <c r="C188" s="1">
        <f>YEAR(Data[[#This Row],[Date]])</f>
        <v>2019</v>
      </c>
      <c r="D188" s="5">
        <v>43759</v>
      </c>
      <c r="E188" s="1" t="s">
        <v>117</v>
      </c>
      <c r="F188" s="1">
        <v>28483</v>
      </c>
      <c r="G188" s="1" t="s">
        <v>29</v>
      </c>
      <c r="H188" s="1" t="s">
        <v>113</v>
      </c>
      <c r="I188" s="1" t="s">
        <v>1</v>
      </c>
      <c r="J188" s="1">
        <v>5</v>
      </c>
      <c r="K188" s="1">
        <f>J188*(IF(I188=ProdFam[[#Headers],[Test]],(VLOOKUP(Data[[#This Row],[Product Family]],ProdFam[],3,FALSE)),(VLOOKUP(Data[[#This Row],[Product Family]],ProdFam[],2,FALSE))))</f>
        <v>160</v>
      </c>
      <c r="L188" s="1">
        <v>40</v>
      </c>
      <c r="M188" s="1">
        <v>2</v>
      </c>
      <c r="N188" s="7">
        <f>IFERROR(Data[[#This Row],[Actual Time]]/Data[[#This Row],[QTY Complete]],"")</f>
        <v>20</v>
      </c>
      <c r="O188" s="7">
        <f>IF(I188=ProdFam[[#Headers],[Test]],(VLOOKUP(Data[[#This Row],[Product Family]],ProdFam[],3,FALSE)),(VLOOKUP(Data[[#This Row],[Product Family]],ProdFam[],2,FALSE)))</f>
        <v>32</v>
      </c>
    </row>
    <row r="189" spans="2:15" x14ac:dyDescent="0.25">
      <c r="B189" s="1">
        <f>WEEKNUM(Data[[#This Row],[Date]],1)</f>
        <v>43</v>
      </c>
      <c r="C189" s="1">
        <f>YEAR(Data[[#This Row],[Date]])</f>
        <v>2019</v>
      </c>
      <c r="D189" s="5">
        <v>43759</v>
      </c>
      <c r="E189" s="1" t="s">
        <v>117</v>
      </c>
      <c r="F189" s="1">
        <v>28502</v>
      </c>
      <c r="G189" s="1" t="s">
        <v>26</v>
      </c>
      <c r="H189" s="1" t="s">
        <v>113</v>
      </c>
      <c r="I189" s="1" t="s">
        <v>1</v>
      </c>
      <c r="J189" s="1">
        <v>6</v>
      </c>
      <c r="K189" s="1">
        <f>J189*(IF(I189=ProdFam[[#Headers],[Test]],(VLOOKUP(Data[[#This Row],[Product Family]],ProdFam[],3,FALSE)),(VLOOKUP(Data[[#This Row],[Product Family]],ProdFam[],2,FALSE))))</f>
        <v>192</v>
      </c>
      <c r="L189" s="1">
        <v>30</v>
      </c>
      <c r="M189" s="1">
        <v>2</v>
      </c>
      <c r="N189" s="7">
        <f>IFERROR(Data[[#This Row],[Actual Time]]/Data[[#This Row],[QTY Complete]],"")</f>
        <v>15</v>
      </c>
      <c r="O189" s="7">
        <f>IF(I189=ProdFam[[#Headers],[Test]],(VLOOKUP(Data[[#This Row],[Product Family]],ProdFam[],3,FALSE)),(VLOOKUP(Data[[#This Row],[Product Family]],ProdFam[],2,FALSE)))</f>
        <v>32</v>
      </c>
    </row>
    <row r="190" spans="2:15" x14ac:dyDescent="0.25">
      <c r="B190" s="1">
        <f>WEEKNUM(Data[[#This Row],[Date]],1)</f>
        <v>43</v>
      </c>
      <c r="C190" s="1">
        <f>YEAR(Data[[#This Row],[Date]])</f>
        <v>2019</v>
      </c>
      <c r="D190" s="5">
        <v>43759</v>
      </c>
      <c r="E190" s="1" t="s">
        <v>117</v>
      </c>
      <c r="F190" s="1">
        <v>28698</v>
      </c>
      <c r="G190" s="1" t="s">
        <v>28</v>
      </c>
      <c r="H190" s="1" t="s">
        <v>113</v>
      </c>
      <c r="I190" s="1" t="s">
        <v>1</v>
      </c>
      <c r="J190" s="1">
        <v>2</v>
      </c>
      <c r="K190" s="1">
        <f>J190*(IF(I190=ProdFam[[#Headers],[Test]],(VLOOKUP(Data[[#This Row],[Product Family]],ProdFam[],3,FALSE)),(VLOOKUP(Data[[#This Row],[Product Family]],ProdFam[],2,FALSE))))</f>
        <v>64</v>
      </c>
      <c r="L190" s="1">
        <v>30</v>
      </c>
      <c r="M190" s="1">
        <v>2</v>
      </c>
      <c r="N190" s="7">
        <f>IFERROR(Data[[#This Row],[Actual Time]]/Data[[#This Row],[QTY Complete]],"")</f>
        <v>15</v>
      </c>
      <c r="O190" s="7">
        <f>IF(I190=ProdFam[[#Headers],[Test]],(VLOOKUP(Data[[#This Row],[Product Family]],ProdFam[],3,FALSE)),(VLOOKUP(Data[[#This Row],[Product Family]],ProdFam[],2,FALSE)))</f>
        <v>32</v>
      </c>
    </row>
    <row r="191" spans="2:15" x14ac:dyDescent="0.25">
      <c r="B191" s="1">
        <f>WEEKNUM(Data[[#This Row],[Date]],1)</f>
        <v>43</v>
      </c>
      <c r="C191" s="1">
        <f>YEAR(Data[[#This Row],[Date]])</f>
        <v>2019</v>
      </c>
      <c r="D191" s="5">
        <v>43759</v>
      </c>
      <c r="E191" s="1" t="s">
        <v>117</v>
      </c>
      <c r="F191" s="1">
        <v>28571</v>
      </c>
      <c r="G191" s="1" t="s">
        <v>13</v>
      </c>
      <c r="H191" s="1" t="s">
        <v>113</v>
      </c>
      <c r="I191" s="1" t="s">
        <v>1</v>
      </c>
      <c r="J191" s="1">
        <v>1</v>
      </c>
      <c r="K191" s="1">
        <f>J191*(IF(I191=ProdFam[[#Headers],[Test]],(VLOOKUP(Data[[#This Row],[Product Family]],ProdFam[],3,FALSE)),(VLOOKUP(Data[[#This Row],[Product Family]],ProdFam[],2,FALSE))))</f>
        <v>32</v>
      </c>
      <c r="L191" s="1">
        <v>10</v>
      </c>
      <c r="M191" s="1">
        <v>0</v>
      </c>
      <c r="N191" s="7" t="str">
        <f>IFERROR(Data[[#This Row],[Actual Time]]/Data[[#This Row],[QTY Complete]],"")</f>
        <v/>
      </c>
      <c r="O191" s="7">
        <f>IF(I191=ProdFam[[#Headers],[Test]],(VLOOKUP(Data[[#This Row],[Product Family]],ProdFam[],3,FALSE)),(VLOOKUP(Data[[#This Row],[Product Family]],ProdFam[],2,FALSE)))</f>
        <v>32</v>
      </c>
    </row>
    <row r="192" spans="2:15" x14ac:dyDescent="0.25">
      <c r="B192" s="1">
        <f>WEEKNUM(Data[[#This Row],[Date]],1)</f>
        <v>43</v>
      </c>
      <c r="C192" s="1">
        <f>YEAR(Data[[#This Row],[Date]])</f>
        <v>2019</v>
      </c>
      <c r="D192" s="5">
        <v>43759</v>
      </c>
      <c r="E192" s="1" t="s">
        <v>118</v>
      </c>
      <c r="F192" s="1">
        <v>28537</v>
      </c>
      <c r="G192" s="1" t="s">
        <v>32</v>
      </c>
      <c r="H192" s="1" t="s">
        <v>112</v>
      </c>
      <c r="I192" s="1" t="s">
        <v>0</v>
      </c>
      <c r="J192" s="1">
        <v>18</v>
      </c>
      <c r="K192" s="1">
        <f>J192*(IF(I192=ProdFam[[#Headers],[Test]],(VLOOKUP(Data[[#This Row],[Product Family]],ProdFam[],3,FALSE)),(VLOOKUP(Data[[#This Row],[Product Family]],ProdFam[],2,FALSE))))</f>
        <v>180</v>
      </c>
      <c r="L192" s="1">
        <v>46</v>
      </c>
      <c r="M192" s="1">
        <v>18</v>
      </c>
      <c r="N192" s="7">
        <f>IFERROR(Data[[#This Row],[Actual Time]]/Data[[#This Row],[QTY Complete]],"")</f>
        <v>2.5555555555555554</v>
      </c>
      <c r="O192" s="7">
        <f>IF(I192=ProdFam[[#Headers],[Test]],(VLOOKUP(Data[[#This Row],[Product Family]],ProdFam[],3,FALSE)),(VLOOKUP(Data[[#This Row],[Product Family]],ProdFam[],2,FALSE)))</f>
        <v>10</v>
      </c>
    </row>
    <row r="193" spans="2:15" x14ac:dyDescent="0.25">
      <c r="B193" s="1">
        <f>WEEKNUM(Data[[#This Row],[Date]],1)</f>
        <v>43</v>
      </c>
      <c r="C193" s="1">
        <f>YEAR(Data[[#This Row],[Date]])</f>
        <v>2019</v>
      </c>
      <c r="D193" s="5">
        <v>43759</v>
      </c>
      <c r="E193" s="1" t="s">
        <v>118</v>
      </c>
      <c r="F193" s="1">
        <v>28568</v>
      </c>
      <c r="G193" s="1" t="s">
        <v>50</v>
      </c>
      <c r="H193" s="1" t="s">
        <v>113</v>
      </c>
      <c r="I193" s="1" t="s">
        <v>0</v>
      </c>
      <c r="J193" s="1">
        <v>5</v>
      </c>
      <c r="K193" s="1">
        <f>J193*(IF(I193=ProdFam[[#Headers],[Test]],(VLOOKUP(Data[[#This Row],[Product Family]],ProdFam[],3,FALSE)),(VLOOKUP(Data[[#This Row],[Product Family]],ProdFam[],2,FALSE))))</f>
        <v>235</v>
      </c>
      <c r="L193" s="1">
        <v>213</v>
      </c>
      <c r="M193" s="1">
        <v>5</v>
      </c>
      <c r="N193" s="7">
        <f>IFERROR(Data[[#This Row],[Actual Time]]/Data[[#This Row],[QTY Complete]],"")</f>
        <v>42.6</v>
      </c>
      <c r="O193" s="7">
        <f>IF(I193=ProdFam[[#Headers],[Test]],(VLOOKUP(Data[[#This Row],[Product Family]],ProdFam[],3,FALSE)),(VLOOKUP(Data[[#This Row],[Product Family]],ProdFam[],2,FALSE)))</f>
        <v>47</v>
      </c>
    </row>
    <row r="194" spans="2:15" x14ac:dyDescent="0.25">
      <c r="B194" s="1">
        <f>WEEKNUM(Data[[#This Row],[Date]],1)</f>
        <v>43</v>
      </c>
      <c r="C194" s="1">
        <f>YEAR(Data[[#This Row],[Date]])</f>
        <v>2019</v>
      </c>
      <c r="D194" s="5">
        <v>43759</v>
      </c>
      <c r="E194" s="1" t="s">
        <v>118</v>
      </c>
      <c r="F194" s="1">
        <v>28535</v>
      </c>
      <c r="G194" s="1" t="s">
        <v>61</v>
      </c>
      <c r="H194" s="1" t="s">
        <v>112</v>
      </c>
      <c r="I194" s="1" t="s">
        <v>0</v>
      </c>
      <c r="J194" s="1">
        <v>12</v>
      </c>
      <c r="K194" s="1">
        <f>J194*(IF(I194=ProdFam[[#Headers],[Test]],(VLOOKUP(Data[[#This Row],[Product Family]],ProdFam[],3,FALSE)),(VLOOKUP(Data[[#This Row],[Product Family]],ProdFam[],2,FALSE))))</f>
        <v>120</v>
      </c>
      <c r="L194" s="1">
        <v>61</v>
      </c>
      <c r="M194" s="1">
        <v>12</v>
      </c>
      <c r="N194" s="7">
        <f>IFERROR(Data[[#This Row],[Actual Time]]/Data[[#This Row],[QTY Complete]],"")</f>
        <v>5.083333333333333</v>
      </c>
      <c r="O194" s="7">
        <f>IF(I194=ProdFam[[#Headers],[Test]],(VLOOKUP(Data[[#This Row],[Product Family]],ProdFam[],3,FALSE)),(VLOOKUP(Data[[#This Row],[Product Family]],ProdFam[],2,FALSE)))</f>
        <v>10</v>
      </c>
    </row>
    <row r="195" spans="2:15" x14ac:dyDescent="0.25">
      <c r="B195" s="1">
        <f>WEEKNUM(Data[[#This Row],[Date]],1)</f>
        <v>43</v>
      </c>
      <c r="C195" s="1">
        <f>YEAR(Data[[#This Row],[Date]])</f>
        <v>2019</v>
      </c>
      <c r="D195" s="5">
        <v>43759</v>
      </c>
      <c r="E195" s="1" t="s">
        <v>118</v>
      </c>
      <c r="F195" s="1">
        <v>28657</v>
      </c>
      <c r="G195" s="1" t="s">
        <v>61</v>
      </c>
      <c r="H195" s="1" t="s">
        <v>112</v>
      </c>
      <c r="I195" s="1" t="s">
        <v>0</v>
      </c>
      <c r="J195" s="1">
        <v>12</v>
      </c>
      <c r="K195" s="1">
        <f>J195*(IF(I195=ProdFam[[#Headers],[Test]],(VLOOKUP(Data[[#This Row],[Product Family]],ProdFam[],3,FALSE)),(VLOOKUP(Data[[#This Row],[Product Family]],ProdFam[],2,FALSE))))</f>
        <v>120</v>
      </c>
      <c r="L195" s="1">
        <v>35</v>
      </c>
      <c r="M195" s="1">
        <v>12</v>
      </c>
      <c r="N195" s="7">
        <f>IFERROR(Data[[#This Row],[Actual Time]]/Data[[#This Row],[QTY Complete]],"")</f>
        <v>2.9166666666666665</v>
      </c>
      <c r="O195" s="7">
        <f>IF(I195=ProdFam[[#Headers],[Test]],(VLOOKUP(Data[[#This Row],[Product Family]],ProdFam[],3,FALSE)),(VLOOKUP(Data[[#This Row],[Product Family]],ProdFam[],2,FALSE)))</f>
        <v>10</v>
      </c>
    </row>
    <row r="196" spans="2:15" x14ac:dyDescent="0.25">
      <c r="B196" s="1">
        <f>WEEKNUM(Data[[#This Row],[Date]],1)</f>
        <v>43</v>
      </c>
      <c r="C196" s="1">
        <f>YEAR(Data[[#This Row],[Date]])</f>
        <v>2019</v>
      </c>
      <c r="D196" s="5">
        <v>43759</v>
      </c>
      <c r="E196" s="1" t="s">
        <v>118</v>
      </c>
      <c r="F196" s="1">
        <v>28642</v>
      </c>
      <c r="G196" s="1" t="s">
        <v>62</v>
      </c>
      <c r="H196" s="1" t="s">
        <v>112</v>
      </c>
      <c r="I196" s="1" t="s">
        <v>0</v>
      </c>
      <c r="J196" s="1">
        <v>24</v>
      </c>
      <c r="K196" s="1">
        <f>J196*(IF(I196=ProdFam[[#Headers],[Test]],(VLOOKUP(Data[[#This Row],[Product Family]],ProdFam[],3,FALSE)),(VLOOKUP(Data[[#This Row],[Product Family]],ProdFam[],2,FALSE))))</f>
        <v>240</v>
      </c>
      <c r="L196" s="1">
        <v>62</v>
      </c>
      <c r="M196" s="1">
        <v>24</v>
      </c>
      <c r="N196" s="7">
        <f>IFERROR(Data[[#This Row],[Actual Time]]/Data[[#This Row],[QTY Complete]],"")</f>
        <v>2.5833333333333335</v>
      </c>
      <c r="O196" s="7">
        <f>IF(I196=ProdFam[[#Headers],[Test]],(VLOOKUP(Data[[#This Row],[Product Family]],ProdFam[],3,FALSE)),(VLOOKUP(Data[[#This Row],[Product Family]],ProdFam[],2,FALSE)))</f>
        <v>10</v>
      </c>
    </row>
    <row r="197" spans="2:15" x14ac:dyDescent="0.25">
      <c r="B197" s="1">
        <f>WEEKNUM(Data[[#This Row],[Date]],1)</f>
        <v>43</v>
      </c>
      <c r="C197" s="1">
        <f>YEAR(Data[[#This Row],[Date]])</f>
        <v>2019</v>
      </c>
      <c r="D197" s="5">
        <v>43759</v>
      </c>
      <c r="E197" s="1" t="s">
        <v>122</v>
      </c>
      <c r="F197" s="1">
        <v>28518</v>
      </c>
      <c r="G197" s="1" t="s">
        <v>2</v>
      </c>
      <c r="H197" s="1" t="s">
        <v>112</v>
      </c>
      <c r="I197" s="1" t="s">
        <v>0</v>
      </c>
      <c r="J197" s="1">
        <v>9</v>
      </c>
      <c r="K197" s="1">
        <f>J197*(IF(I197=ProdFam[[#Headers],[Test]],(VLOOKUP(Data[[#This Row],[Product Family]],ProdFam[],3,FALSE)),(VLOOKUP(Data[[#This Row],[Product Family]],ProdFam[],2,FALSE))))</f>
        <v>90</v>
      </c>
      <c r="L197" s="1">
        <v>60</v>
      </c>
      <c r="M197" s="1">
        <v>9</v>
      </c>
      <c r="N197" s="7">
        <f>IFERROR(Data[[#This Row],[Actual Time]]/Data[[#This Row],[QTY Complete]],"")</f>
        <v>6.666666666666667</v>
      </c>
      <c r="O197" s="7">
        <f>IF(I197=ProdFam[[#Headers],[Test]],(VLOOKUP(Data[[#This Row],[Product Family]],ProdFam[],3,FALSE)),(VLOOKUP(Data[[#This Row],[Product Family]],ProdFam[],2,FALSE)))</f>
        <v>10</v>
      </c>
    </row>
    <row r="198" spans="2:15" x14ac:dyDescent="0.25">
      <c r="B198" s="1">
        <f>WEEKNUM(Data[[#This Row],[Date]],1)</f>
        <v>43</v>
      </c>
      <c r="C198" s="1">
        <f>YEAR(Data[[#This Row],[Date]])</f>
        <v>2019</v>
      </c>
      <c r="D198" s="5">
        <v>43759</v>
      </c>
      <c r="E198" s="1" t="s">
        <v>122</v>
      </c>
      <c r="F198" s="1">
        <v>28541</v>
      </c>
      <c r="G198" s="1" t="s">
        <v>58</v>
      </c>
      <c r="H198" s="1" t="s">
        <v>112</v>
      </c>
      <c r="I198" s="1" t="s">
        <v>0</v>
      </c>
      <c r="J198" s="1">
        <v>12</v>
      </c>
      <c r="K198" s="1">
        <f>J198*(IF(I198=ProdFam[[#Headers],[Test]],(VLOOKUP(Data[[#This Row],[Product Family]],ProdFam[],3,FALSE)),(VLOOKUP(Data[[#This Row],[Product Family]],ProdFam[],2,FALSE))))</f>
        <v>120</v>
      </c>
      <c r="L198" s="1">
        <v>105</v>
      </c>
      <c r="M198" s="1">
        <v>12</v>
      </c>
      <c r="N198" s="7">
        <f>IFERROR(Data[[#This Row],[Actual Time]]/Data[[#This Row],[QTY Complete]],"")</f>
        <v>8.75</v>
      </c>
      <c r="O198" s="7">
        <f>IF(I198=ProdFam[[#Headers],[Test]],(VLOOKUP(Data[[#This Row],[Product Family]],ProdFam[],3,FALSE)),(VLOOKUP(Data[[#This Row],[Product Family]],ProdFam[],2,FALSE)))</f>
        <v>10</v>
      </c>
    </row>
    <row r="199" spans="2:15" x14ac:dyDescent="0.25">
      <c r="B199" s="1">
        <f>WEEKNUM(Data[[#This Row],[Date]],1)</f>
        <v>43</v>
      </c>
      <c r="C199" s="1">
        <f>YEAR(Data[[#This Row],[Date]])</f>
        <v>2019</v>
      </c>
      <c r="D199" s="5">
        <v>43759</v>
      </c>
      <c r="E199" s="1" t="s">
        <v>122</v>
      </c>
      <c r="F199" s="1">
        <v>28571</v>
      </c>
      <c r="G199" s="1" t="s">
        <v>13</v>
      </c>
      <c r="H199" s="1" t="s">
        <v>113</v>
      </c>
      <c r="I199" s="1" t="s">
        <v>0</v>
      </c>
      <c r="J199" s="1">
        <v>6</v>
      </c>
      <c r="K199" s="1">
        <f>J199*(IF(I199=ProdFam[[#Headers],[Test]],(VLOOKUP(Data[[#This Row],[Product Family]],ProdFam[],3,FALSE)),(VLOOKUP(Data[[#This Row],[Product Family]],ProdFam[],2,FALSE))))</f>
        <v>282</v>
      </c>
      <c r="L199" s="1">
        <v>280</v>
      </c>
      <c r="M199" s="1">
        <v>6</v>
      </c>
      <c r="N199" s="7">
        <f>IFERROR(Data[[#This Row],[Actual Time]]/Data[[#This Row],[QTY Complete]],"")</f>
        <v>46.666666666666664</v>
      </c>
      <c r="O199" s="7">
        <f>IF(I199=ProdFam[[#Headers],[Test]],(VLOOKUP(Data[[#This Row],[Product Family]],ProdFam[],3,FALSE)),(VLOOKUP(Data[[#This Row],[Product Family]],ProdFam[],2,FALSE)))</f>
        <v>47</v>
      </c>
    </row>
    <row r="200" spans="2:15" x14ac:dyDescent="0.25">
      <c r="B200" s="1">
        <f>WEEKNUM(Data[[#This Row],[Date]],1)</f>
        <v>43</v>
      </c>
      <c r="C200" s="1">
        <f>YEAR(Data[[#This Row],[Date]])</f>
        <v>2019</v>
      </c>
      <c r="D200" s="5">
        <v>43759</v>
      </c>
      <c r="E200" s="1" t="s">
        <v>122</v>
      </c>
      <c r="F200" s="1">
        <v>28574</v>
      </c>
      <c r="G200" s="1" t="s">
        <v>29</v>
      </c>
      <c r="H200" s="1" t="s">
        <v>113</v>
      </c>
      <c r="I200" s="1" t="s">
        <v>0</v>
      </c>
      <c r="J200" s="1">
        <v>8</v>
      </c>
      <c r="K200" s="1">
        <f>J200*(IF(I200=ProdFam[[#Headers],[Test]],(VLOOKUP(Data[[#This Row],[Product Family]],ProdFam[],3,FALSE)),(VLOOKUP(Data[[#This Row],[Product Family]],ProdFam[],2,FALSE))))</f>
        <v>376</v>
      </c>
      <c r="L200" s="1">
        <v>255</v>
      </c>
      <c r="M200" s="1">
        <v>0</v>
      </c>
      <c r="N200" s="7" t="str">
        <f>IFERROR(Data[[#This Row],[Actual Time]]/Data[[#This Row],[QTY Complete]],"")</f>
        <v/>
      </c>
      <c r="O200" s="7">
        <f>IF(I200=ProdFam[[#Headers],[Test]],(VLOOKUP(Data[[#This Row],[Product Family]],ProdFam[],3,FALSE)),(VLOOKUP(Data[[#This Row],[Product Family]],ProdFam[],2,FALSE)))</f>
        <v>47</v>
      </c>
    </row>
    <row r="201" spans="2:15" x14ac:dyDescent="0.25">
      <c r="B201" s="1">
        <f>WEEKNUM(Data[[#This Row],[Date]],1)</f>
        <v>43</v>
      </c>
      <c r="C201" s="1">
        <f>YEAR(Data[[#This Row],[Date]])</f>
        <v>2019</v>
      </c>
      <c r="D201" s="5">
        <v>43760</v>
      </c>
      <c r="E201" s="1" t="s">
        <v>122</v>
      </c>
      <c r="F201" s="1">
        <v>28574</v>
      </c>
      <c r="G201" s="1" t="s">
        <v>29</v>
      </c>
      <c r="H201" s="1" t="s">
        <v>113</v>
      </c>
      <c r="I201" s="1" t="s">
        <v>0</v>
      </c>
      <c r="J201" s="1">
        <v>8</v>
      </c>
      <c r="K201" s="1">
        <f>J201*(IF(I201=ProdFam[[#Headers],[Test]],(VLOOKUP(Data[[#This Row],[Product Family]],ProdFam[],3,FALSE)),(VLOOKUP(Data[[#This Row],[Product Family]],ProdFam[],2,FALSE))))</f>
        <v>376</v>
      </c>
      <c r="L201" s="1">
        <v>90</v>
      </c>
      <c r="M201" s="1">
        <v>8</v>
      </c>
      <c r="N201" s="7">
        <f>IFERROR(Data[[#This Row],[Actual Time]]/Data[[#This Row],[QTY Complete]],"")</f>
        <v>11.25</v>
      </c>
      <c r="O201" s="7">
        <f>IF(I201=ProdFam[[#Headers],[Test]],(VLOOKUP(Data[[#This Row],[Product Family]],ProdFam[],3,FALSE)),(VLOOKUP(Data[[#This Row],[Product Family]],ProdFam[],2,FALSE)))</f>
        <v>47</v>
      </c>
    </row>
    <row r="202" spans="2:15" x14ac:dyDescent="0.25">
      <c r="B202" s="1">
        <f>WEEKNUM(Data[[#This Row],[Date]],1)</f>
        <v>43</v>
      </c>
      <c r="C202" s="1">
        <f>YEAR(Data[[#This Row],[Date]])</f>
        <v>2019</v>
      </c>
      <c r="D202" s="5">
        <v>43760</v>
      </c>
      <c r="E202" s="1" t="s">
        <v>122</v>
      </c>
      <c r="F202" s="1">
        <v>28713</v>
      </c>
      <c r="G202" s="1" t="s">
        <v>13</v>
      </c>
      <c r="H202" s="1" t="s">
        <v>113</v>
      </c>
      <c r="I202" s="1" t="s">
        <v>0</v>
      </c>
      <c r="J202" s="1">
        <v>4</v>
      </c>
      <c r="K202" s="1">
        <f>J202*(IF(I202=ProdFam[[#Headers],[Test]],(VLOOKUP(Data[[#This Row],[Product Family]],ProdFam[],3,FALSE)),(VLOOKUP(Data[[#This Row],[Product Family]],ProdFam[],2,FALSE))))</f>
        <v>188</v>
      </c>
      <c r="L202" s="1">
        <v>150</v>
      </c>
      <c r="M202" s="1">
        <v>4</v>
      </c>
      <c r="N202" s="7">
        <f>IFERROR(Data[[#This Row],[Actual Time]]/Data[[#This Row],[QTY Complete]],"")</f>
        <v>37.5</v>
      </c>
      <c r="O202" s="7">
        <f>IF(I202=ProdFam[[#Headers],[Test]],(VLOOKUP(Data[[#This Row],[Product Family]],ProdFam[],3,FALSE)),(VLOOKUP(Data[[#This Row],[Product Family]],ProdFam[],2,FALSE)))</f>
        <v>47</v>
      </c>
    </row>
    <row r="203" spans="2:15" x14ac:dyDescent="0.25">
      <c r="B203" s="1">
        <f>WEEKNUM(Data[[#This Row],[Date]],1)</f>
        <v>43</v>
      </c>
      <c r="C203" s="1">
        <f>YEAR(Data[[#This Row],[Date]])</f>
        <v>2019</v>
      </c>
      <c r="D203" s="5">
        <v>43760</v>
      </c>
      <c r="E203" s="1" t="s">
        <v>122</v>
      </c>
      <c r="F203" s="1">
        <v>28720</v>
      </c>
      <c r="G203" s="1" t="s">
        <v>63</v>
      </c>
      <c r="H203" s="1" t="s">
        <v>115</v>
      </c>
      <c r="I203" s="1" t="s">
        <v>0</v>
      </c>
      <c r="J203" s="1">
        <v>25</v>
      </c>
      <c r="K203" s="1">
        <f>J203*(IF(I203=ProdFam[[#Headers],[Test]],(VLOOKUP(Data[[#This Row],[Product Family]],ProdFam[],3,FALSE)),(VLOOKUP(Data[[#This Row],[Product Family]],ProdFam[],2,FALSE))))</f>
        <v>200</v>
      </c>
      <c r="L203" s="1">
        <v>180</v>
      </c>
      <c r="M203" s="1">
        <v>25</v>
      </c>
      <c r="N203" s="7">
        <f>IFERROR(Data[[#This Row],[Actual Time]]/Data[[#This Row],[QTY Complete]],"")</f>
        <v>7.2</v>
      </c>
      <c r="O203" s="7">
        <f>IF(I203=ProdFam[[#Headers],[Test]],(VLOOKUP(Data[[#This Row],[Product Family]],ProdFam[],3,FALSE)),(VLOOKUP(Data[[#This Row],[Product Family]],ProdFam[],2,FALSE)))</f>
        <v>8</v>
      </c>
    </row>
    <row r="204" spans="2:15" x14ac:dyDescent="0.25">
      <c r="B204" s="1">
        <f>WEEKNUM(Data[[#This Row],[Date]],1)</f>
        <v>43</v>
      </c>
      <c r="C204" s="1">
        <f>YEAR(Data[[#This Row],[Date]])</f>
        <v>2019</v>
      </c>
      <c r="D204" s="5">
        <v>43760</v>
      </c>
      <c r="E204" s="1" t="s">
        <v>122</v>
      </c>
      <c r="F204" s="1">
        <v>28656</v>
      </c>
      <c r="G204" s="1" t="s">
        <v>64</v>
      </c>
      <c r="H204" s="1" t="s">
        <v>112</v>
      </c>
      <c r="I204" s="1" t="s">
        <v>0</v>
      </c>
      <c r="J204" s="1">
        <v>12</v>
      </c>
      <c r="K204" s="1">
        <f>J204*(IF(I204=ProdFam[[#Headers],[Test]],(VLOOKUP(Data[[#This Row],[Product Family]],ProdFam[],3,FALSE)),(VLOOKUP(Data[[#This Row],[Product Family]],ProdFam[],2,FALSE))))</f>
        <v>120</v>
      </c>
      <c r="L204" s="1">
        <v>90</v>
      </c>
      <c r="M204" s="1">
        <v>12</v>
      </c>
      <c r="N204" s="7">
        <f>IFERROR(Data[[#This Row],[Actual Time]]/Data[[#This Row],[QTY Complete]],"")</f>
        <v>7.5</v>
      </c>
      <c r="O204" s="7">
        <f>IF(I204=ProdFam[[#Headers],[Test]],(VLOOKUP(Data[[#This Row],[Product Family]],ProdFam[],3,FALSE)),(VLOOKUP(Data[[#This Row],[Product Family]],ProdFam[],2,FALSE)))</f>
        <v>10</v>
      </c>
    </row>
    <row r="205" spans="2:15" x14ac:dyDescent="0.25">
      <c r="B205" s="1">
        <f>WEEKNUM(Data[[#This Row],[Date]],1)</f>
        <v>43</v>
      </c>
      <c r="C205" s="1">
        <f>YEAR(Data[[#This Row],[Date]])</f>
        <v>2019</v>
      </c>
      <c r="D205" s="5">
        <v>43760</v>
      </c>
      <c r="E205" s="1" t="s">
        <v>122</v>
      </c>
      <c r="F205" s="1">
        <v>28652</v>
      </c>
      <c r="G205" s="1" t="s">
        <v>36</v>
      </c>
      <c r="H205" s="1" t="s">
        <v>112</v>
      </c>
      <c r="I205" s="1" t="s">
        <v>0</v>
      </c>
      <c r="J205" s="1">
        <v>6</v>
      </c>
      <c r="K205" s="1">
        <f>J205*(IF(I205=ProdFam[[#Headers],[Test]],(VLOOKUP(Data[[#This Row],[Product Family]],ProdFam[],3,FALSE)),(VLOOKUP(Data[[#This Row],[Product Family]],ProdFam[],2,FALSE))))</f>
        <v>60</v>
      </c>
      <c r="L205" s="1">
        <v>60</v>
      </c>
      <c r="M205" s="1">
        <v>6</v>
      </c>
      <c r="N205" s="7">
        <f>IFERROR(Data[[#This Row],[Actual Time]]/Data[[#This Row],[QTY Complete]],"")</f>
        <v>10</v>
      </c>
      <c r="O205" s="7">
        <f>IF(I205=ProdFam[[#Headers],[Test]],(VLOOKUP(Data[[#This Row],[Product Family]],ProdFam[],3,FALSE)),(VLOOKUP(Data[[#This Row],[Product Family]],ProdFam[],2,FALSE)))</f>
        <v>10</v>
      </c>
    </row>
    <row r="206" spans="2:15" x14ac:dyDescent="0.25">
      <c r="B206" s="1">
        <f>WEEKNUM(Data[[#This Row],[Date]],1)</f>
        <v>43</v>
      </c>
      <c r="C206" s="1">
        <f>YEAR(Data[[#This Row],[Date]])</f>
        <v>2019</v>
      </c>
      <c r="D206" s="5">
        <v>43760</v>
      </c>
      <c r="E206" s="1" t="s">
        <v>122</v>
      </c>
      <c r="F206" s="1">
        <v>28658</v>
      </c>
      <c r="G206" s="1" t="s">
        <v>5</v>
      </c>
      <c r="H206" s="1" t="s">
        <v>112</v>
      </c>
      <c r="I206" s="1" t="s">
        <v>0</v>
      </c>
      <c r="J206" s="1">
        <v>6</v>
      </c>
      <c r="K206" s="1">
        <f>J206*(IF(I206=ProdFam[[#Headers],[Test]],(VLOOKUP(Data[[#This Row],[Product Family]],ProdFam[],3,FALSE)),(VLOOKUP(Data[[#This Row],[Product Family]],ProdFam[],2,FALSE))))</f>
        <v>60</v>
      </c>
      <c r="L206" s="1">
        <v>60</v>
      </c>
      <c r="M206" s="1">
        <v>6</v>
      </c>
      <c r="N206" s="7">
        <f>IFERROR(Data[[#This Row],[Actual Time]]/Data[[#This Row],[QTY Complete]],"")</f>
        <v>10</v>
      </c>
      <c r="O206" s="7">
        <f>IF(I206=ProdFam[[#Headers],[Test]],(VLOOKUP(Data[[#This Row],[Product Family]],ProdFam[],3,FALSE)),(VLOOKUP(Data[[#This Row],[Product Family]],ProdFam[],2,FALSE)))</f>
        <v>10</v>
      </c>
    </row>
    <row r="207" spans="2:15" x14ac:dyDescent="0.25">
      <c r="B207" s="1">
        <f>WEEKNUM(Data[[#This Row],[Date]],1)</f>
        <v>43</v>
      </c>
      <c r="C207" s="1">
        <f>YEAR(Data[[#This Row],[Date]])</f>
        <v>2019</v>
      </c>
      <c r="D207" s="5">
        <v>43760</v>
      </c>
      <c r="E207" s="1" t="s">
        <v>122</v>
      </c>
      <c r="F207" s="1">
        <v>28623</v>
      </c>
      <c r="G207" s="1" t="s">
        <v>41</v>
      </c>
      <c r="H207" s="1" t="s">
        <v>113</v>
      </c>
      <c r="I207" s="1" t="s">
        <v>0</v>
      </c>
      <c r="J207" s="1">
        <v>8</v>
      </c>
      <c r="K207" s="1">
        <f>J207*(IF(I207=ProdFam[[#Headers],[Test]],(VLOOKUP(Data[[#This Row],[Product Family]],ProdFam[],3,FALSE)),(VLOOKUP(Data[[#This Row],[Product Family]],ProdFam[],2,FALSE))))</f>
        <v>376</v>
      </c>
      <c r="L207" s="1">
        <v>45</v>
      </c>
      <c r="M207" s="1">
        <v>0</v>
      </c>
      <c r="N207" s="7" t="str">
        <f>IFERROR(Data[[#This Row],[Actual Time]]/Data[[#This Row],[QTY Complete]],"")</f>
        <v/>
      </c>
      <c r="O207" s="7">
        <f>IF(I207=ProdFam[[#Headers],[Test]],(VLOOKUP(Data[[#This Row],[Product Family]],ProdFam[],3,FALSE)),(VLOOKUP(Data[[#This Row],[Product Family]],ProdFam[],2,FALSE)))</f>
        <v>47</v>
      </c>
    </row>
    <row r="208" spans="2:15" x14ac:dyDescent="0.25">
      <c r="B208" s="1">
        <f>WEEKNUM(Data[[#This Row],[Date]],1)</f>
        <v>43</v>
      </c>
      <c r="C208" s="1">
        <f>YEAR(Data[[#This Row],[Date]])</f>
        <v>2019</v>
      </c>
      <c r="D208" s="5">
        <v>43760</v>
      </c>
      <c r="E208" s="1" t="s">
        <v>117</v>
      </c>
      <c r="F208" s="1">
        <v>28603</v>
      </c>
      <c r="G208" s="1" t="s">
        <v>44</v>
      </c>
      <c r="H208" s="1" t="s">
        <v>113</v>
      </c>
      <c r="I208" s="1" t="s">
        <v>1</v>
      </c>
      <c r="J208" s="1">
        <v>5</v>
      </c>
      <c r="K208" s="1">
        <f>J208*(IF(I208=ProdFam[[#Headers],[Test]],(VLOOKUP(Data[[#This Row],[Product Family]],ProdFam[],3,FALSE)),(VLOOKUP(Data[[#This Row],[Product Family]],ProdFam[],2,FALSE))))</f>
        <v>160</v>
      </c>
      <c r="L208" s="1">
        <v>65</v>
      </c>
      <c r="M208" s="1">
        <v>5</v>
      </c>
      <c r="N208" s="7">
        <f>IFERROR(Data[[#This Row],[Actual Time]]/Data[[#This Row],[QTY Complete]],"")</f>
        <v>13</v>
      </c>
      <c r="O208" s="7">
        <f>IF(I208=ProdFam[[#Headers],[Test]],(VLOOKUP(Data[[#This Row],[Product Family]],ProdFam[],3,FALSE)),(VLOOKUP(Data[[#This Row],[Product Family]],ProdFam[],2,FALSE)))</f>
        <v>32</v>
      </c>
    </row>
    <row r="209" spans="2:15" x14ac:dyDescent="0.25">
      <c r="B209" s="1">
        <f>WEEKNUM(Data[[#This Row],[Date]],1)</f>
        <v>43</v>
      </c>
      <c r="C209" s="1">
        <f>YEAR(Data[[#This Row],[Date]])</f>
        <v>2019</v>
      </c>
      <c r="D209" s="5">
        <v>43760</v>
      </c>
      <c r="E209" s="1" t="s">
        <v>117</v>
      </c>
      <c r="F209" s="1">
        <v>28571</v>
      </c>
      <c r="G209" s="1" t="s">
        <v>13</v>
      </c>
      <c r="H209" s="1" t="s">
        <v>113</v>
      </c>
      <c r="I209" s="1" t="s">
        <v>1</v>
      </c>
      <c r="J209" s="1">
        <v>1</v>
      </c>
      <c r="K209" s="1">
        <f>J209*(IF(I209=ProdFam[[#Headers],[Test]],(VLOOKUP(Data[[#This Row],[Product Family]],ProdFam[],3,FALSE)),(VLOOKUP(Data[[#This Row],[Product Family]],ProdFam[],2,FALSE))))</f>
        <v>32</v>
      </c>
      <c r="L209" s="1">
        <v>20</v>
      </c>
      <c r="M209" s="1">
        <v>1</v>
      </c>
      <c r="N209" s="7">
        <f>IFERROR(Data[[#This Row],[Actual Time]]/Data[[#This Row],[QTY Complete]],"")</f>
        <v>20</v>
      </c>
      <c r="O209" s="7">
        <f>IF(I209=ProdFam[[#Headers],[Test]],(VLOOKUP(Data[[#This Row],[Product Family]],ProdFam[],3,FALSE)),(VLOOKUP(Data[[#This Row],[Product Family]],ProdFam[],2,FALSE)))</f>
        <v>32</v>
      </c>
    </row>
    <row r="210" spans="2:15" x14ac:dyDescent="0.25">
      <c r="B210" s="1">
        <f>WEEKNUM(Data[[#This Row],[Date]],1)</f>
        <v>43</v>
      </c>
      <c r="C210" s="1">
        <f>YEAR(Data[[#This Row],[Date]])</f>
        <v>2019</v>
      </c>
      <c r="D210" s="5">
        <v>43760</v>
      </c>
      <c r="E210" s="1" t="s">
        <v>117</v>
      </c>
      <c r="F210" s="1">
        <v>28483</v>
      </c>
      <c r="G210" s="1" t="s">
        <v>28</v>
      </c>
      <c r="H210" s="1" t="s">
        <v>113</v>
      </c>
      <c r="I210" s="1" t="s">
        <v>1</v>
      </c>
      <c r="J210" s="1">
        <v>5</v>
      </c>
      <c r="K210" s="1">
        <f>J210*(IF(I210=ProdFam[[#Headers],[Test]],(VLOOKUP(Data[[#This Row],[Product Family]],ProdFam[],3,FALSE)),(VLOOKUP(Data[[#This Row],[Product Family]],ProdFam[],2,FALSE))))</f>
        <v>160</v>
      </c>
      <c r="L210" s="1">
        <v>24</v>
      </c>
      <c r="M210" s="1">
        <v>3</v>
      </c>
      <c r="N210" s="7">
        <f>IFERROR(Data[[#This Row],[Actual Time]]/Data[[#This Row],[QTY Complete]],"")</f>
        <v>8</v>
      </c>
      <c r="O210" s="7">
        <f>IF(I210=ProdFam[[#Headers],[Test]],(VLOOKUP(Data[[#This Row],[Product Family]],ProdFam[],3,FALSE)),(VLOOKUP(Data[[#This Row],[Product Family]],ProdFam[],2,FALSE)))</f>
        <v>32</v>
      </c>
    </row>
    <row r="211" spans="2:15" x14ac:dyDescent="0.25">
      <c r="B211" s="1">
        <f>WEEKNUM(Data[[#This Row],[Date]],1)</f>
        <v>43</v>
      </c>
      <c r="C211" s="1">
        <f>YEAR(Data[[#This Row],[Date]])</f>
        <v>2019</v>
      </c>
      <c r="D211" s="5">
        <v>43760</v>
      </c>
      <c r="E211" s="1" t="s">
        <v>117</v>
      </c>
      <c r="F211" s="1">
        <v>28502</v>
      </c>
      <c r="G211" s="1" t="s">
        <v>26</v>
      </c>
      <c r="H211" s="1" t="s">
        <v>113</v>
      </c>
      <c r="I211" s="1" t="s">
        <v>1</v>
      </c>
      <c r="J211" s="1">
        <v>6</v>
      </c>
      <c r="K211" s="1">
        <f>J211*(IF(I211=ProdFam[[#Headers],[Test]],(VLOOKUP(Data[[#This Row],[Product Family]],ProdFam[],3,FALSE)),(VLOOKUP(Data[[#This Row],[Product Family]],ProdFam[],2,FALSE))))</f>
        <v>192</v>
      </c>
      <c r="L211" s="1">
        <v>65</v>
      </c>
      <c r="M211" s="1">
        <v>4</v>
      </c>
      <c r="N211" s="7">
        <f>IFERROR(Data[[#This Row],[Actual Time]]/Data[[#This Row],[QTY Complete]],"")</f>
        <v>16.25</v>
      </c>
      <c r="O211" s="7">
        <f>IF(I211=ProdFam[[#Headers],[Test]],(VLOOKUP(Data[[#This Row],[Product Family]],ProdFam[],3,FALSE)),(VLOOKUP(Data[[#This Row],[Product Family]],ProdFam[],2,FALSE)))</f>
        <v>32</v>
      </c>
    </row>
    <row r="212" spans="2:15" x14ac:dyDescent="0.25">
      <c r="B212" s="1">
        <f>WEEKNUM(Data[[#This Row],[Date]],1)</f>
        <v>43</v>
      </c>
      <c r="C212" s="1">
        <f>YEAR(Data[[#This Row],[Date]])</f>
        <v>2019</v>
      </c>
      <c r="D212" s="5">
        <v>43760</v>
      </c>
      <c r="E212" s="1" t="s">
        <v>118</v>
      </c>
      <c r="F212" s="1">
        <v>28606</v>
      </c>
      <c r="G212" s="1" t="s">
        <v>25</v>
      </c>
      <c r="H212" s="1" t="s">
        <v>113</v>
      </c>
      <c r="I212" s="1" t="s">
        <v>0</v>
      </c>
      <c r="J212" s="1">
        <v>10</v>
      </c>
      <c r="K212" s="1">
        <f>J212*(IF(I212=ProdFam[[#Headers],[Test]],(VLOOKUP(Data[[#This Row],[Product Family]],ProdFam[],3,FALSE)),(VLOOKUP(Data[[#This Row],[Product Family]],ProdFam[],2,FALSE))))</f>
        <v>470</v>
      </c>
      <c r="L212" s="1">
        <v>355</v>
      </c>
      <c r="M212" s="1">
        <v>10</v>
      </c>
      <c r="N212" s="7">
        <f>IFERROR(Data[[#This Row],[Actual Time]]/Data[[#This Row],[QTY Complete]],"")</f>
        <v>35.5</v>
      </c>
      <c r="O212" s="7">
        <f>IF(I212=ProdFam[[#Headers],[Test]],(VLOOKUP(Data[[#This Row],[Product Family]],ProdFam[],3,FALSE)),(VLOOKUP(Data[[#This Row],[Product Family]],ProdFam[],2,FALSE)))</f>
        <v>47</v>
      </c>
    </row>
    <row r="213" spans="2:15" x14ac:dyDescent="0.25">
      <c r="B213" s="1">
        <f>WEEKNUM(Data[[#This Row],[Date]],1)</f>
        <v>43</v>
      </c>
      <c r="C213" s="1">
        <f>YEAR(Data[[#This Row],[Date]])</f>
        <v>2019</v>
      </c>
      <c r="D213" s="5">
        <v>43760</v>
      </c>
      <c r="E213" s="1" t="s">
        <v>118</v>
      </c>
      <c r="F213" s="1">
        <v>28655</v>
      </c>
      <c r="G213" s="1" t="s">
        <v>11</v>
      </c>
      <c r="H213" s="1" t="s">
        <v>113</v>
      </c>
      <c r="I213" s="1" t="s">
        <v>0</v>
      </c>
      <c r="J213" s="1">
        <v>4</v>
      </c>
      <c r="K213" s="1">
        <f>J213*(IF(I213=ProdFam[[#Headers],[Test]],(VLOOKUP(Data[[#This Row],[Product Family]],ProdFam[],3,FALSE)),(VLOOKUP(Data[[#This Row],[Product Family]],ProdFam[],2,FALSE))))</f>
        <v>188</v>
      </c>
      <c r="L213" s="1">
        <v>60</v>
      </c>
      <c r="M213" s="1">
        <v>0</v>
      </c>
      <c r="N213" s="7" t="str">
        <f>IFERROR(Data[[#This Row],[Actual Time]]/Data[[#This Row],[QTY Complete]],"")</f>
        <v/>
      </c>
      <c r="O213" s="7">
        <f>IF(I213=ProdFam[[#Headers],[Test]],(VLOOKUP(Data[[#This Row],[Product Family]],ProdFam[],3,FALSE)),(VLOOKUP(Data[[#This Row],[Product Family]],ProdFam[],2,FALSE)))</f>
        <v>47</v>
      </c>
    </row>
    <row r="214" spans="2:15" x14ac:dyDescent="0.25">
      <c r="B214" s="1">
        <f>WEEKNUM(Data[[#This Row],[Date]],1)</f>
        <v>43</v>
      </c>
      <c r="C214" s="1">
        <f>YEAR(Data[[#This Row],[Date]])</f>
        <v>2019</v>
      </c>
      <c r="D214" s="5">
        <v>43759</v>
      </c>
      <c r="E214" s="1" t="s">
        <v>111</v>
      </c>
      <c r="F214" s="1">
        <v>28524</v>
      </c>
      <c r="G214" s="1" t="s">
        <v>11</v>
      </c>
      <c r="H214" s="1" t="s">
        <v>113</v>
      </c>
      <c r="I214" s="1" t="s">
        <v>1</v>
      </c>
      <c r="J214" s="1">
        <v>6</v>
      </c>
      <c r="K214" s="1">
        <f>J214*(IF(I214=ProdFam[[#Headers],[Test]],(VLOOKUP(Data[[#This Row],[Product Family]],ProdFam[],3,FALSE)),(VLOOKUP(Data[[#This Row],[Product Family]],ProdFam[],2,FALSE))))</f>
        <v>192</v>
      </c>
      <c r="L214" s="1">
        <v>90</v>
      </c>
      <c r="M214" s="1">
        <v>6</v>
      </c>
      <c r="N214" s="7">
        <f>IFERROR(Data[[#This Row],[Actual Time]]/Data[[#This Row],[QTY Complete]],"")</f>
        <v>15</v>
      </c>
      <c r="O214" s="7">
        <f>IF(I214=ProdFam[[#Headers],[Test]],(VLOOKUP(Data[[#This Row],[Product Family]],ProdFam[],3,FALSE)),(VLOOKUP(Data[[#This Row],[Product Family]],ProdFam[],2,FALSE)))</f>
        <v>32</v>
      </c>
    </row>
    <row r="215" spans="2:15" x14ac:dyDescent="0.25">
      <c r="B215" s="1">
        <f>WEEKNUM(Data[[#This Row],[Date]],1)</f>
        <v>43</v>
      </c>
      <c r="C215" s="1">
        <f>YEAR(Data[[#This Row],[Date]])</f>
        <v>2019</v>
      </c>
      <c r="D215" s="5">
        <v>43759</v>
      </c>
      <c r="E215" s="1" t="s">
        <v>111</v>
      </c>
      <c r="F215" s="1">
        <v>28640</v>
      </c>
      <c r="G215" s="1" t="s">
        <v>51</v>
      </c>
      <c r="H215" s="1" t="s">
        <v>113</v>
      </c>
      <c r="I215" s="1" t="s">
        <v>1</v>
      </c>
      <c r="J215" s="1">
        <v>8</v>
      </c>
      <c r="K215" s="1">
        <f>J215*(IF(I215=ProdFam[[#Headers],[Test]],(VLOOKUP(Data[[#This Row],[Product Family]],ProdFam[],3,FALSE)),(VLOOKUP(Data[[#This Row],[Product Family]],ProdFam[],2,FALSE))))</f>
        <v>256</v>
      </c>
      <c r="L215" s="1">
        <v>240</v>
      </c>
      <c r="M215" s="1">
        <v>8</v>
      </c>
      <c r="N215" s="7">
        <f>IFERROR(Data[[#This Row],[Actual Time]]/Data[[#This Row],[QTY Complete]],"")</f>
        <v>30</v>
      </c>
      <c r="O215" s="7">
        <f>IF(I215=ProdFam[[#Headers],[Test]],(VLOOKUP(Data[[#This Row],[Product Family]],ProdFam[],3,FALSE)),(VLOOKUP(Data[[#This Row],[Product Family]],ProdFam[],2,FALSE)))</f>
        <v>32</v>
      </c>
    </row>
    <row r="216" spans="2:15" x14ac:dyDescent="0.25">
      <c r="B216" s="1">
        <f>WEEKNUM(Data[[#This Row],[Date]],1)</f>
        <v>43</v>
      </c>
      <c r="C216" s="1">
        <f>YEAR(Data[[#This Row],[Date]])</f>
        <v>2019</v>
      </c>
      <c r="D216" s="5">
        <v>43759</v>
      </c>
      <c r="E216" s="1" t="s">
        <v>111</v>
      </c>
      <c r="F216" s="1">
        <v>28604</v>
      </c>
      <c r="G216" s="1" t="s">
        <v>25</v>
      </c>
      <c r="H216" s="1" t="s">
        <v>113</v>
      </c>
      <c r="I216" s="1" t="s">
        <v>1</v>
      </c>
      <c r="J216" s="1">
        <v>10</v>
      </c>
      <c r="K216" s="1">
        <f>J216*(IF(I216=ProdFam[[#Headers],[Test]],(VLOOKUP(Data[[#This Row],[Product Family]],ProdFam[],3,FALSE)),(VLOOKUP(Data[[#This Row],[Product Family]],ProdFam[],2,FALSE))))</f>
        <v>320</v>
      </c>
      <c r="L216" s="1">
        <v>180</v>
      </c>
      <c r="M216" s="1">
        <v>10</v>
      </c>
      <c r="N216" s="7">
        <f>IFERROR(Data[[#This Row],[Actual Time]]/Data[[#This Row],[QTY Complete]],"")</f>
        <v>18</v>
      </c>
      <c r="O216" s="7">
        <f>IF(I216=ProdFam[[#Headers],[Test]],(VLOOKUP(Data[[#This Row],[Product Family]],ProdFam[],3,FALSE)),(VLOOKUP(Data[[#This Row],[Product Family]],ProdFam[],2,FALSE)))</f>
        <v>32</v>
      </c>
    </row>
    <row r="217" spans="2:15" x14ac:dyDescent="0.25">
      <c r="B217" s="1">
        <f>WEEKNUM(Data[[#This Row],[Date]],1)</f>
        <v>43</v>
      </c>
      <c r="C217" s="1">
        <f>YEAR(Data[[#This Row],[Date]])</f>
        <v>2019</v>
      </c>
      <c r="D217" s="5">
        <v>43760</v>
      </c>
      <c r="E217" s="1" t="s">
        <v>119</v>
      </c>
      <c r="F217" s="1">
        <v>28525</v>
      </c>
      <c r="G217" s="1" t="s">
        <v>49</v>
      </c>
      <c r="H217" s="1" t="s">
        <v>112</v>
      </c>
      <c r="I217" s="1" t="s">
        <v>1</v>
      </c>
      <c r="J217" s="1">
        <v>6</v>
      </c>
      <c r="K217" s="1">
        <f>J217*(IF(I217=ProdFam[[#Headers],[Test]],(VLOOKUP(Data[[#This Row],[Product Family]],ProdFam[],3,FALSE)),(VLOOKUP(Data[[#This Row],[Product Family]],ProdFam[],2,FALSE))))</f>
        <v>60</v>
      </c>
      <c r="L217" s="1">
        <v>50</v>
      </c>
      <c r="M217" s="1">
        <v>6</v>
      </c>
      <c r="N217" s="7">
        <f>IFERROR(Data[[#This Row],[Actual Time]]/Data[[#This Row],[QTY Complete]],"")</f>
        <v>8.3333333333333339</v>
      </c>
      <c r="O217" s="7">
        <f>IF(I217=ProdFam[[#Headers],[Test]],(VLOOKUP(Data[[#This Row],[Product Family]],ProdFam[],3,FALSE)),(VLOOKUP(Data[[#This Row],[Product Family]],ProdFam[],2,FALSE)))</f>
        <v>10</v>
      </c>
    </row>
    <row r="218" spans="2:15" x14ac:dyDescent="0.25">
      <c r="B218" s="1">
        <f>WEEKNUM(Data[[#This Row],[Date]],1)</f>
        <v>43</v>
      </c>
      <c r="C218" s="1">
        <f>YEAR(Data[[#This Row],[Date]])</f>
        <v>2019</v>
      </c>
      <c r="D218" s="5">
        <v>43760</v>
      </c>
      <c r="E218" s="1" t="s">
        <v>119</v>
      </c>
      <c r="F218" s="1">
        <v>28642</v>
      </c>
      <c r="G218" s="1" t="s">
        <v>62</v>
      </c>
      <c r="H218" s="1" t="s">
        <v>112</v>
      </c>
      <c r="I218" s="1" t="s">
        <v>1</v>
      </c>
      <c r="J218" s="1">
        <v>24</v>
      </c>
      <c r="K218" s="1">
        <f>J218*(IF(I218=ProdFam[[#Headers],[Test]],(VLOOKUP(Data[[#This Row],[Product Family]],ProdFam[],3,FALSE)),(VLOOKUP(Data[[#This Row],[Product Family]],ProdFam[],2,FALSE))))</f>
        <v>240</v>
      </c>
      <c r="L218" s="1">
        <v>105</v>
      </c>
      <c r="M218" s="1">
        <v>24</v>
      </c>
      <c r="N218" s="7">
        <f>IFERROR(Data[[#This Row],[Actual Time]]/Data[[#This Row],[QTY Complete]],"")</f>
        <v>4.375</v>
      </c>
      <c r="O218" s="7">
        <f>IF(I218=ProdFam[[#Headers],[Test]],(VLOOKUP(Data[[#This Row],[Product Family]],ProdFam[],3,FALSE)),(VLOOKUP(Data[[#This Row],[Product Family]],ProdFam[],2,FALSE)))</f>
        <v>10</v>
      </c>
    </row>
    <row r="219" spans="2:15" x14ac:dyDescent="0.25">
      <c r="B219" s="1">
        <f>WEEKNUM(Data[[#This Row],[Date]],1)</f>
        <v>43</v>
      </c>
      <c r="C219" s="1">
        <f>YEAR(Data[[#This Row],[Date]])</f>
        <v>2019</v>
      </c>
      <c r="D219" s="5">
        <v>43760</v>
      </c>
      <c r="E219" s="1" t="s">
        <v>119</v>
      </c>
      <c r="F219" s="1">
        <v>28567</v>
      </c>
      <c r="G219" s="1" t="s">
        <v>52</v>
      </c>
      <c r="H219" s="1" t="s">
        <v>112</v>
      </c>
      <c r="I219" s="1" t="s">
        <v>1</v>
      </c>
      <c r="J219" s="1">
        <v>6</v>
      </c>
      <c r="K219" s="1">
        <f>J219*(IF(I219=ProdFam[[#Headers],[Test]],(VLOOKUP(Data[[#This Row],[Product Family]],ProdFam[],3,FALSE)),(VLOOKUP(Data[[#This Row],[Product Family]],ProdFam[],2,FALSE))))</f>
        <v>60</v>
      </c>
      <c r="L219" s="1">
        <v>35</v>
      </c>
      <c r="M219" s="1">
        <v>6</v>
      </c>
      <c r="N219" s="7">
        <f>IFERROR(Data[[#This Row],[Actual Time]]/Data[[#This Row],[QTY Complete]],"")</f>
        <v>5.833333333333333</v>
      </c>
      <c r="O219" s="7">
        <f>IF(I219=ProdFam[[#Headers],[Test]],(VLOOKUP(Data[[#This Row],[Product Family]],ProdFam[],3,FALSE)),(VLOOKUP(Data[[#This Row],[Product Family]],ProdFam[],2,FALSE)))</f>
        <v>10</v>
      </c>
    </row>
    <row r="220" spans="2:15" x14ac:dyDescent="0.25">
      <c r="B220" s="1">
        <f>WEEKNUM(Data[[#This Row],[Date]],1)</f>
        <v>43</v>
      </c>
      <c r="C220" s="1">
        <f>YEAR(Data[[#This Row],[Date]])</f>
        <v>2019</v>
      </c>
      <c r="D220" s="5">
        <v>43760</v>
      </c>
      <c r="E220" s="1" t="s">
        <v>119</v>
      </c>
      <c r="F220" s="1">
        <v>28571</v>
      </c>
      <c r="G220" s="1" t="s">
        <v>47</v>
      </c>
      <c r="H220" s="1" t="s">
        <v>113</v>
      </c>
      <c r="I220" s="1" t="s">
        <v>1</v>
      </c>
      <c r="J220" s="1">
        <v>5</v>
      </c>
      <c r="K220" s="1">
        <f>J220*(IF(I220=ProdFam[[#Headers],[Test]],(VLOOKUP(Data[[#This Row],[Product Family]],ProdFam[],3,FALSE)),(VLOOKUP(Data[[#This Row],[Product Family]],ProdFam[],2,FALSE))))</f>
        <v>160</v>
      </c>
      <c r="L220" s="1">
        <v>130</v>
      </c>
      <c r="M220" s="1">
        <v>5</v>
      </c>
      <c r="N220" s="7">
        <f>IFERROR(Data[[#This Row],[Actual Time]]/Data[[#This Row],[QTY Complete]],"")</f>
        <v>26</v>
      </c>
      <c r="O220" s="7">
        <f>IF(I220=ProdFam[[#Headers],[Test]],(VLOOKUP(Data[[#This Row],[Product Family]],ProdFam[],3,FALSE)),(VLOOKUP(Data[[#This Row],[Product Family]],ProdFam[],2,FALSE)))</f>
        <v>32</v>
      </c>
    </row>
    <row r="221" spans="2:15" x14ac:dyDescent="0.25">
      <c r="B221" s="1">
        <f>WEEKNUM(Data[[#This Row],[Date]],1)</f>
        <v>43</v>
      </c>
      <c r="C221" s="1">
        <f>YEAR(Data[[#This Row],[Date]])</f>
        <v>2019</v>
      </c>
      <c r="D221" s="5">
        <v>43760</v>
      </c>
      <c r="E221" s="1" t="s">
        <v>119</v>
      </c>
      <c r="F221" s="1">
        <v>28698</v>
      </c>
      <c r="G221" s="1" t="s">
        <v>28</v>
      </c>
      <c r="H221" s="1" t="s">
        <v>113</v>
      </c>
      <c r="I221" s="1" t="s">
        <v>1</v>
      </c>
      <c r="J221" s="1">
        <v>7</v>
      </c>
      <c r="K221" s="1">
        <f>J221*(IF(I221=ProdFam[[#Headers],[Test]],(VLOOKUP(Data[[#This Row],[Product Family]],ProdFam[],3,FALSE)),(VLOOKUP(Data[[#This Row],[Product Family]],ProdFam[],2,FALSE))))</f>
        <v>224</v>
      </c>
      <c r="L221" s="1">
        <v>110</v>
      </c>
      <c r="M221" s="1">
        <v>7</v>
      </c>
      <c r="N221" s="7">
        <f>IFERROR(Data[[#This Row],[Actual Time]]/Data[[#This Row],[QTY Complete]],"")</f>
        <v>15.714285714285714</v>
      </c>
      <c r="O221" s="7">
        <f>IF(I221=ProdFam[[#Headers],[Test]],(VLOOKUP(Data[[#This Row],[Product Family]],ProdFam[],3,FALSE)),(VLOOKUP(Data[[#This Row],[Product Family]],ProdFam[],2,FALSE)))</f>
        <v>32</v>
      </c>
    </row>
    <row r="222" spans="2:15" x14ac:dyDescent="0.25">
      <c r="B222" s="1">
        <f>WEEKNUM(Data[[#This Row],[Date]],1)</f>
        <v>43</v>
      </c>
      <c r="C222" s="1">
        <f>YEAR(Data[[#This Row],[Date]])</f>
        <v>2019</v>
      </c>
      <c r="D222" s="5">
        <v>43760</v>
      </c>
      <c r="E222" s="1" t="s">
        <v>119</v>
      </c>
      <c r="F222" s="1">
        <v>28501</v>
      </c>
      <c r="G222" s="1" t="s">
        <v>11</v>
      </c>
      <c r="H222" s="1" t="s">
        <v>113</v>
      </c>
      <c r="I222" s="1" t="s">
        <v>1</v>
      </c>
      <c r="J222" s="1">
        <v>3</v>
      </c>
      <c r="K222" s="1">
        <f>J222*(IF(I222=ProdFam[[#Headers],[Test]],(VLOOKUP(Data[[#This Row],[Product Family]],ProdFam[],3,FALSE)),(VLOOKUP(Data[[#This Row],[Product Family]],ProdFam[],2,FALSE))))</f>
        <v>96</v>
      </c>
      <c r="L222" s="1">
        <v>40</v>
      </c>
      <c r="M222" s="1">
        <v>3</v>
      </c>
      <c r="N222" s="7">
        <f>IFERROR(Data[[#This Row],[Actual Time]]/Data[[#This Row],[QTY Complete]],"")</f>
        <v>13.333333333333334</v>
      </c>
      <c r="O222" s="7">
        <f>IF(I222=ProdFam[[#Headers],[Test]],(VLOOKUP(Data[[#This Row],[Product Family]],ProdFam[],3,FALSE)),(VLOOKUP(Data[[#This Row],[Product Family]],ProdFam[],2,FALSE)))</f>
        <v>32</v>
      </c>
    </row>
    <row r="223" spans="2:15" x14ac:dyDescent="0.25">
      <c r="B223" s="1">
        <f>WEEKNUM(Data[[#This Row],[Date]],1)</f>
        <v>43</v>
      </c>
      <c r="C223" s="1">
        <f>YEAR(Data[[#This Row],[Date]])</f>
        <v>2019</v>
      </c>
      <c r="D223" s="5">
        <v>43760</v>
      </c>
      <c r="E223" s="1" t="s">
        <v>117</v>
      </c>
      <c r="F223" s="1">
        <v>28478</v>
      </c>
      <c r="G223" s="1" t="s">
        <v>60</v>
      </c>
      <c r="H223" s="1" t="s">
        <v>113</v>
      </c>
      <c r="I223" s="1" t="s">
        <v>1</v>
      </c>
      <c r="J223" s="1">
        <v>5</v>
      </c>
      <c r="K223" s="1">
        <f>J223*(IF(I223=ProdFam[[#Headers],[Test]],(VLOOKUP(Data[[#This Row],[Product Family]],ProdFam[],3,FALSE)),(VLOOKUP(Data[[#This Row],[Product Family]],ProdFam[],2,FALSE))))</f>
        <v>160</v>
      </c>
      <c r="L223" s="1">
        <v>90</v>
      </c>
      <c r="M223" s="1">
        <v>5</v>
      </c>
      <c r="N223" s="7">
        <f>IFERROR(Data[[#This Row],[Actual Time]]/Data[[#This Row],[QTY Complete]],"")</f>
        <v>18</v>
      </c>
      <c r="O223" s="7">
        <f>IF(I223=ProdFam[[#Headers],[Test]],(VLOOKUP(Data[[#This Row],[Product Family]],ProdFam[],3,FALSE)),(VLOOKUP(Data[[#This Row],[Product Family]],ProdFam[],2,FALSE)))</f>
        <v>32</v>
      </c>
    </row>
    <row r="224" spans="2:15" x14ac:dyDescent="0.25">
      <c r="B224" s="1">
        <f>WEEKNUM(Data[[#This Row],[Date]],1)</f>
        <v>43</v>
      </c>
      <c r="C224" s="1">
        <f>YEAR(Data[[#This Row],[Date]])</f>
        <v>2019</v>
      </c>
      <c r="D224" s="5">
        <v>43760</v>
      </c>
      <c r="E224" s="1" t="s">
        <v>117</v>
      </c>
      <c r="F224" s="1">
        <v>28657</v>
      </c>
      <c r="G224" s="1" t="s">
        <v>61</v>
      </c>
      <c r="H224" s="1" t="s">
        <v>112</v>
      </c>
      <c r="I224" s="1" t="s">
        <v>1</v>
      </c>
      <c r="J224" s="1">
        <v>12</v>
      </c>
      <c r="K224" s="1">
        <f>J224*(IF(I224=ProdFam[[#Headers],[Test]],(VLOOKUP(Data[[#This Row],[Product Family]],ProdFam[],3,FALSE)),(VLOOKUP(Data[[#This Row],[Product Family]],ProdFam[],2,FALSE))))</f>
        <v>120</v>
      </c>
      <c r="L224" s="1">
        <v>75</v>
      </c>
      <c r="M224" s="1">
        <v>10</v>
      </c>
      <c r="N224" s="7">
        <f>IFERROR(Data[[#This Row],[Actual Time]]/Data[[#This Row],[QTY Complete]],"")</f>
        <v>7.5</v>
      </c>
      <c r="O224" s="7">
        <f>IF(I224=ProdFam[[#Headers],[Test]],(VLOOKUP(Data[[#This Row],[Product Family]],ProdFam[],3,FALSE)),(VLOOKUP(Data[[#This Row],[Product Family]],ProdFam[],2,FALSE)))</f>
        <v>10</v>
      </c>
    </row>
    <row r="225" spans="2:15" x14ac:dyDescent="0.25">
      <c r="B225" s="1">
        <f>WEEKNUM(Data[[#This Row],[Date]],1)</f>
        <v>43</v>
      </c>
      <c r="C225" s="1">
        <f>YEAR(Data[[#This Row],[Date]])</f>
        <v>2019</v>
      </c>
      <c r="D225" s="5">
        <v>43760</v>
      </c>
      <c r="E225" s="1" t="s">
        <v>117</v>
      </c>
      <c r="F225" s="1">
        <v>28535</v>
      </c>
      <c r="G225" s="1" t="s">
        <v>61</v>
      </c>
      <c r="H225" s="1" t="s">
        <v>112</v>
      </c>
      <c r="I225" s="1" t="s">
        <v>1</v>
      </c>
      <c r="J225" s="1">
        <v>12</v>
      </c>
      <c r="K225" s="1">
        <f>J225*(IF(I225=ProdFam[[#Headers],[Test]],(VLOOKUP(Data[[#This Row],[Product Family]],ProdFam[],3,FALSE)),(VLOOKUP(Data[[#This Row],[Product Family]],ProdFam[],2,FALSE))))</f>
        <v>120</v>
      </c>
      <c r="L225" s="1">
        <v>105</v>
      </c>
      <c r="M225" s="1">
        <v>12</v>
      </c>
      <c r="N225" s="7">
        <f>IFERROR(Data[[#This Row],[Actual Time]]/Data[[#This Row],[QTY Complete]],"")</f>
        <v>8.75</v>
      </c>
      <c r="O225" s="7">
        <f>IF(I225=ProdFam[[#Headers],[Test]],(VLOOKUP(Data[[#This Row],[Product Family]],ProdFam[],3,FALSE)),(VLOOKUP(Data[[#This Row],[Product Family]],ProdFam[],2,FALSE)))</f>
        <v>10</v>
      </c>
    </row>
    <row r="226" spans="2:15" x14ac:dyDescent="0.25">
      <c r="B226" s="1">
        <f>WEEKNUM(Data[[#This Row],[Date]],1)</f>
        <v>43</v>
      </c>
      <c r="C226" s="1">
        <f>YEAR(Data[[#This Row],[Date]])</f>
        <v>2019</v>
      </c>
      <c r="D226" s="5">
        <v>43760</v>
      </c>
      <c r="E226" s="1" t="s">
        <v>117</v>
      </c>
      <c r="F226" s="1">
        <v>28573</v>
      </c>
      <c r="G226" s="1" t="s">
        <v>65</v>
      </c>
      <c r="H226" s="1" t="s">
        <v>112</v>
      </c>
      <c r="I226" s="1" t="s">
        <v>1</v>
      </c>
      <c r="J226" s="1">
        <v>9</v>
      </c>
      <c r="K226" s="1">
        <f>J226*(IF(I226=ProdFam[[#Headers],[Test]],(VLOOKUP(Data[[#This Row],[Product Family]],ProdFam[],3,FALSE)),(VLOOKUP(Data[[#This Row],[Product Family]],ProdFam[],2,FALSE))))</f>
        <v>90</v>
      </c>
      <c r="L226" s="1">
        <v>30</v>
      </c>
      <c r="M226" s="1">
        <v>9</v>
      </c>
      <c r="N226" s="7">
        <f>IFERROR(Data[[#This Row],[Actual Time]]/Data[[#This Row],[QTY Complete]],"")</f>
        <v>3.3333333333333335</v>
      </c>
      <c r="O226" s="7">
        <f>IF(I226=ProdFam[[#Headers],[Test]],(VLOOKUP(Data[[#This Row],[Product Family]],ProdFam[],3,FALSE)),(VLOOKUP(Data[[#This Row],[Product Family]],ProdFam[],2,FALSE)))</f>
        <v>10</v>
      </c>
    </row>
    <row r="227" spans="2:15" x14ac:dyDescent="0.25">
      <c r="B227" s="1">
        <f>WEEKNUM(Data[[#This Row],[Date]],1)</f>
        <v>43</v>
      </c>
      <c r="C227" s="1">
        <f>YEAR(Data[[#This Row],[Date]])</f>
        <v>2019</v>
      </c>
      <c r="D227" s="5">
        <v>43760</v>
      </c>
      <c r="E227" s="1" t="s">
        <v>117</v>
      </c>
      <c r="F227" s="1">
        <v>28536</v>
      </c>
      <c r="G227" s="1" t="s">
        <v>54</v>
      </c>
      <c r="H227" s="1" t="s">
        <v>112</v>
      </c>
      <c r="I227" s="1" t="s">
        <v>1</v>
      </c>
      <c r="J227" s="1">
        <v>3</v>
      </c>
      <c r="K227" s="1">
        <f>J227*(IF(I227=ProdFam[[#Headers],[Test]],(VLOOKUP(Data[[#This Row],[Product Family]],ProdFam[],3,FALSE)),(VLOOKUP(Data[[#This Row],[Product Family]],ProdFam[],2,FALSE))))</f>
        <v>30</v>
      </c>
      <c r="L227" s="1">
        <v>30</v>
      </c>
      <c r="M227" s="1">
        <v>3</v>
      </c>
      <c r="N227" s="7">
        <f>IFERROR(Data[[#This Row],[Actual Time]]/Data[[#This Row],[QTY Complete]],"")</f>
        <v>10</v>
      </c>
      <c r="O227" s="7">
        <f>IF(I227=ProdFam[[#Headers],[Test]],(VLOOKUP(Data[[#This Row],[Product Family]],ProdFam[],3,FALSE)),(VLOOKUP(Data[[#This Row],[Product Family]],ProdFam[],2,FALSE)))</f>
        <v>10</v>
      </c>
    </row>
    <row r="228" spans="2:15" x14ac:dyDescent="0.25">
      <c r="B228" s="1">
        <f>WEEKNUM(Data[[#This Row],[Date]],1)</f>
        <v>43</v>
      </c>
      <c r="C228" s="1">
        <f>YEAR(Data[[#This Row],[Date]])</f>
        <v>2019</v>
      </c>
      <c r="D228" s="5">
        <v>43760</v>
      </c>
      <c r="E228" s="1" t="s">
        <v>119</v>
      </c>
      <c r="F228" s="1">
        <v>28526</v>
      </c>
      <c r="G228" s="1" t="s">
        <v>50</v>
      </c>
      <c r="H228" s="1" t="s">
        <v>113</v>
      </c>
      <c r="I228" s="1" t="s">
        <v>1</v>
      </c>
      <c r="J228" s="1">
        <v>3</v>
      </c>
      <c r="K228" s="1">
        <f>J228*(IF(I228=ProdFam[[#Headers],[Test]],(VLOOKUP(Data[[#This Row],[Product Family]],ProdFam[],3,FALSE)),(VLOOKUP(Data[[#This Row],[Product Family]],ProdFam[],2,FALSE))))</f>
        <v>96</v>
      </c>
      <c r="L228" s="1">
        <v>55</v>
      </c>
      <c r="M228" s="1">
        <v>3</v>
      </c>
      <c r="N228" s="7">
        <f>IFERROR(Data[[#This Row],[Actual Time]]/Data[[#This Row],[QTY Complete]],"")</f>
        <v>18.333333333333332</v>
      </c>
      <c r="O228" s="7">
        <f>IF(I228=ProdFam[[#Headers],[Test]],(VLOOKUP(Data[[#This Row],[Product Family]],ProdFam[],3,FALSE)),(VLOOKUP(Data[[#This Row],[Product Family]],ProdFam[],2,FALSE)))</f>
        <v>32</v>
      </c>
    </row>
    <row r="229" spans="2:15" x14ac:dyDescent="0.25">
      <c r="B229" s="1">
        <f>WEEKNUM(Data[[#This Row],[Date]],1)</f>
        <v>43</v>
      </c>
      <c r="C229" s="1">
        <f>YEAR(Data[[#This Row],[Date]])</f>
        <v>2019</v>
      </c>
      <c r="D229" s="5">
        <v>43760</v>
      </c>
      <c r="E229" s="1" t="s">
        <v>119</v>
      </c>
      <c r="F229" s="1">
        <v>28720</v>
      </c>
      <c r="G229" s="1" t="s">
        <v>63</v>
      </c>
      <c r="H229" s="1" t="s">
        <v>115</v>
      </c>
      <c r="I229" s="1" t="s">
        <v>1</v>
      </c>
      <c r="J229" s="1">
        <v>25</v>
      </c>
      <c r="K229" s="1">
        <f>J229*(IF(I229=ProdFam[[#Headers],[Test]],(VLOOKUP(Data[[#This Row],[Product Family]],ProdFam[],3,FALSE)),(VLOOKUP(Data[[#This Row],[Product Family]],ProdFam[],2,FALSE))))</f>
        <v>600</v>
      </c>
      <c r="L229" s="1">
        <v>360</v>
      </c>
      <c r="M229" s="1">
        <v>0</v>
      </c>
      <c r="N229" s="7" t="str">
        <f>IFERROR(Data[[#This Row],[Actual Time]]/Data[[#This Row],[QTY Complete]],"")</f>
        <v/>
      </c>
      <c r="O229" s="7">
        <f>IF(I229=ProdFam[[#Headers],[Test]],(VLOOKUP(Data[[#This Row],[Product Family]],ProdFam[],3,FALSE)),(VLOOKUP(Data[[#This Row],[Product Family]],ProdFam[],2,FALSE)))</f>
        <v>24</v>
      </c>
    </row>
    <row r="230" spans="2:15" x14ac:dyDescent="0.25">
      <c r="B230" s="1">
        <f>WEEKNUM(Data[[#This Row],[Date]],1)</f>
        <v>43</v>
      </c>
      <c r="C230" s="1">
        <f>YEAR(Data[[#This Row],[Date]])</f>
        <v>2019</v>
      </c>
      <c r="D230" s="5">
        <v>43760</v>
      </c>
      <c r="E230" s="1" t="s">
        <v>111</v>
      </c>
      <c r="F230" s="1">
        <v>28658</v>
      </c>
      <c r="G230" s="1" t="s">
        <v>5</v>
      </c>
      <c r="H230" s="1" t="s">
        <v>112</v>
      </c>
      <c r="I230" s="1" t="s">
        <v>1</v>
      </c>
      <c r="J230" s="1">
        <v>6</v>
      </c>
      <c r="K230" s="1">
        <f>J230*(IF(I230=ProdFam[[#Headers],[Test]],(VLOOKUP(Data[[#This Row],[Product Family]],ProdFam[],3,FALSE)),(VLOOKUP(Data[[#This Row],[Product Family]],ProdFam[],2,FALSE))))</f>
        <v>60</v>
      </c>
      <c r="L230" s="1">
        <v>60</v>
      </c>
      <c r="M230" s="1">
        <v>6</v>
      </c>
      <c r="N230" s="7">
        <f>IFERROR(Data[[#This Row],[Actual Time]]/Data[[#This Row],[QTY Complete]],"")</f>
        <v>10</v>
      </c>
      <c r="O230" s="7">
        <f>IF(I230=ProdFam[[#Headers],[Test]],(VLOOKUP(Data[[#This Row],[Product Family]],ProdFam[],3,FALSE)),(VLOOKUP(Data[[#This Row],[Product Family]],ProdFam[],2,FALSE)))</f>
        <v>10</v>
      </c>
    </row>
    <row r="231" spans="2:15" x14ac:dyDescent="0.25">
      <c r="B231" s="1">
        <f>WEEKNUM(Data[[#This Row],[Date]],1)</f>
        <v>43</v>
      </c>
      <c r="C231" s="1">
        <f>YEAR(Data[[#This Row],[Date]])</f>
        <v>2019</v>
      </c>
      <c r="D231" s="5">
        <v>43760</v>
      </c>
      <c r="E231" s="1" t="s">
        <v>111</v>
      </c>
      <c r="F231" s="1">
        <v>28652</v>
      </c>
      <c r="G231" s="1" t="s">
        <v>36</v>
      </c>
      <c r="H231" s="1" t="s">
        <v>112</v>
      </c>
      <c r="I231" s="1" t="s">
        <v>1</v>
      </c>
      <c r="J231" s="1">
        <v>6</v>
      </c>
      <c r="K231" s="1">
        <f>J231*(IF(I231=ProdFam[[#Headers],[Test]],(VLOOKUP(Data[[#This Row],[Product Family]],ProdFam[],3,FALSE)),(VLOOKUP(Data[[#This Row],[Product Family]],ProdFam[],2,FALSE))))</f>
        <v>60</v>
      </c>
      <c r="L231" s="1">
        <v>60</v>
      </c>
      <c r="M231" s="1">
        <v>6</v>
      </c>
      <c r="N231" s="7">
        <f>IFERROR(Data[[#This Row],[Actual Time]]/Data[[#This Row],[QTY Complete]],"")</f>
        <v>10</v>
      </c>
      <c r="O231" s="7">
        <f>IF(I231=ProdFam[[#Headers],[Test]],(VLOOKUP(Data[[#This Row],[Product Family]],ProdFam[],3,FALSE)),(VLOOKUP(Data[[#This Row],[Product Family]],ProdFam[],2,FALSE)))</f>
        <v>10</v>
      </c>
    </row>
    <row r="232" spans="2:15" x14ac:dyDescent="0.25">
      <c r="B232" s="1">
        <f>WEEKNUM(Data[[#This Row],[Date]],1)</f>
        <v>43</v>
      </c>
      <c r="C232" s="1">
        <f>YEAR(Data[[#This Row],[Date]])</f>
        <v>2019</v>
      </c>
      <c r="D232" s="5">
        <v>43760</v>
      </c>
      <c r="E232" s="1" t="s">
        <v>111</v>
      </c>
      <c r="F232" s="1">
        <v>28518</v>
      </c>
      <c r="G232" s="1" t="s">
        <v>2</v>
      </c>
      <c r="H232" s="1" t="s">
        <v>112</v>
      </c>
      <c r="I232" s="1" t="s">
        <v>1</v>
      </c>
      <c r="J232" s="1">
        <v>9</v>
      </c>
      <c r="K232" s="1">
        <f>J232*(IF(I232=ProdFam[[#Headers],[Test]],(VLOOKUP(Data[[#This Row],[Product Family]],ProdFam[],3,FALSE)),(VLOOKUP(Data[[#This Row],[Product Family]],ProdFam[],2,FALSE))))</f>
        <v>90</v>
      </c>
      <c r="L232" s="1">
        <v>90</v>
      </c>
      <c r="M232" s="1">
        <v>9</v>
      </c>
      <c r="N232" s="7">
        <f>IFERROR(Data[[#This Row],[Actual Time]]/Data[[#This Row],[QTY Complete]],"")</f>
        <v>10</v>
      </c>
      <c r="O232" s="7">
        <f>IF(I232=ProdFam[[#Headers],[Test]],(VLOOKUP(Data[[#This Row],[Product Family]],ProdFam[],3,FALSE)),(VLOOKUP(Data[[#This Row],[Product Family]],ProdFam[],2,FALSE)))</f>
        <v>10</v>
      </c>
    </row>
    <row r="233" spans="2:15" x14ac:dyDescent="0.25">
      <c r="B233" s="1">
        <f>WEEKNUM(Data[[#This Row],[Date]],1)</f>
        <v>43</v>
      </c>
      <c r="C233" s="1">
        <f>YEAR(Data[[#This Row],[Date]])</f>
        <v>2019</v>
      </c>
      <c r="D233" s="5">
        <v>43760</v>
      </c>
      <c r="E233" s="1" t="s">
        <v>111</v>
      </c>
      <c r="F233" s="1">
        <v>28487</v>
      </c>
      <c r="G233" s="1" t="s">
        <v>49</v>
      </c>
      <c r="H233" s="1" t="s">
        <v>112</v>
      </c>
      <c r="I233" s="1" t="s">
        <v>1</v>
      </c>
      <c r="J233" s="1">
        <v>12</v>
      </c>
      <c r="K233" s="1">
        <f>J233*(IF(I233=ProdFam[[#Headers],[Test]],(VLOOKUP(Data[[#This Row],[Product Family]],ProdFam[],3,FALSE)),(VLOOKUP(Data[[#This Row],[Product Family]],ProdFam[],2,FALSE))))</f>
        <v>120</v>
      </c>
      <c r="L233" s="1">
        <v>90</v>
      </c>
      <c r="M233" s="1">
        <v>12</v>
      </c>
      <c r="N233" s="7">
        <f>IFERROR(Data[[#This Row],[Actual Time]]/Data[[#This Row],[QTY Complete]],"")</f>
        <v>7.5</v>
      </c>
      <c r="O233" s="7">
        <f>IF(I233=ProdFam[[#Headers],[Test]],(VLOOKUP(Data[[#This Row],[Product Family]],ProdFam[],3,FALSE)),(VLOOKUP(Data[[#This Row],[Product Family]],ProdFam[],2,FALSE)))</f>
        <v>10</v>
      </c>
    </row>
    <row r="234" spans="2:15" x14ac:dyDescent="0.25">
      <c r="B234" s="1">
        <f>WEEKNUM(Data[[#This Row],[Date]],1)</f>
        <v>43</v>
      </c>
      <c r="C234" s="1">
        <f>YEAR(Data[[#This Row],[Date]])</f>
        <v>2019</v>
      </c>
      <c r="D234" s="5">
        <v>43760</v>
      </c>
      <c r="E234" s="1" t="s">
        <v>111</v>
      </c>
      <c r="F234" s="1">
        <v>28656</v>
      </c>
      <c r="G234" s="1" t="s">
        <v>64</v>
      </c>
      <c r="H234" s="1" t="s">
        <v>112</v>
      </c>
      <c r="I234" s="1" t="s">
        <v>1</v>
      </c>
      <c r="J234" s="1">
        <v>12</v>
      </c>
      <c r="K234" s="1">
        <f>J234*(IF(I234=ProdFam[[#Headers],[Test]],(VLOOKUP(Data[[#This Row],[Product Family]],ProdFam[],3,FALSE)),(VLOOKUP(Data[[#This Row],[Product Family]],ProdFam[],2,FALSE))))</f>
        <v>120</v>
      </c>
      <c r="L234" s="1">
        <v>120</v>
      </c>
      <c r="M234" s="1">
        <v>12</v>
      </c>
      <c r="N234" s="7">
        <f>IFERROR(Data[[#This Row],[Actual Time]]/Data[[#This Row],[QTY Complete]],"")</f>
        <v>10</v>
      </c>
      <c r="O234" s="7">
        <f>IF(I234=ProdFam[[#Headers],[Test]],(VLOOKUP(Data[[#This Row],[Product Family]],ProdFam[],3,FALSE)),(VLOOKUP(Data[[#This Row],[Product Family]],ProdFam[],2,FALSE)))</f>
        <v>10</v>
      </c>
    </row>
    <row r="235" spans="2:15" x14ac:dyDescent="0.25">
      <c r="B235" s="1">
        <f>WEEKNUM(Data[[#This Row],[Date]],1)</f>
        <v>43</v>
      </c>
      <c r="C235" s="1">
        <f>YEAR(Data[[#This Row],[Date]])</f>
        <v>2019</v>
      </c>
      <c r="D235" s="5">
        <v>43760</v>
      </c>
      <c r="E235" s="1" t="s">
        <v>122</v>
      </c>
      <c r="F235" s="1">
        <v>28623</v>
      </c>
      <c r="G235" s="1" t="s">
        <v>41</v>
      </c>
      <c r="H235" s="1" t="s">
        <v>113</v>
      </c>
      <c r="I235" s="1" t="s">
        <v>0</v>
      </c>
      <c r="J235" s="1">
        <v>8</v>
      </c>
      <c r="K235" s="1">
        <f>J235*(IF(I235=ProdFam[[#Headers],[Test]],(VLOOKUP(Data[[#This Row],[Product Family]],ProdFam[],3,FALSE)),(VLOOKUP(Data[[#This Row],[Product Family]],ProdFam[],2,FALSE))))</f>
        <v>376</v>
      </c>
      <c r="L235" s="1">
        <v>300</v>
      </c>
      <c r="M235" s="1">
        <v>8</v>
      </c>
      <c r="N235" s="7">
        <f>IFERROR(Data[[#This Row],[Actual Time]]/Data[[#This Row],[QTY Complete]],"")</f>
        <v>37.5</v>
      </c>
      <c r="O235" s="7">
        <f>IF(I235=ProdFam[[#Headers],[Test]],(VLOOKUP(Data[[#This Row],[Product Family]],ProdFam[],3,FALSE)),(VLOOKUP(Data[[#This Row],[Product Family]],ProdFam[],2,FALSE)))</f>
        <v>47</v>
      </c>
    </row>
    <row r="236" spans="2:15" x14ac:dyDescent="0.25">
      <c r="B236" s="1">
        <f>WEEKNUM(Data[[#This Row],[Date]],1)</f>
        <v>43</v>
      </c>
      <c r="C236" s="1">
        <f>YEAR(Data[[#This Row],[Date]])</f>
        <v>2019</v>
      </c>
      <c r="D236" s="5">
        <v>43760</v>
      </c>
      <c r="E236" s="1" t="s">
        <v>122</v>
      </c>
      <c r="F236" s="1">
        <v>28721</v>
      </c>
      <c r="G236" s="1" t="s">
        <v>44</v>
      </c>
      <c r="H236" s="1" t="s">
        <v>113</v>
      </c>
      <c r="I236" s="1" t="s">
        <v>0</v>
      </c>
      <c r="J236" s="1">
        <v>5</v>
      </c>
      <c r="K236" s="1">
        <f>J236*(IF(I236=ProdFam[[#Headers],[Test]],(VLOOKUP(Data[[#This Row],[Product Family]],ProdFam[],3,FALSE)),(VLOOKUP(Data[[#This Row],[Product Family]],ProdFam[],2,FALSE))))</f>
        <v>235</v>
      </c>
      <c r="L236" s="1">
        <v>235</v>
      </c>
      <c r="M236" s="1">
        <v>5</v>
      </c>
      <c r="N236" s="7">
        <f>IFERROR(Data[[#This Row],[Actual Time]]/Data[[#This Row],[QTY Complete]],"")</f>
        <v>47</v>
      </c>
      <c r="O236" s="7">
        <f>IF(I236=ProdFam[[#Headers],[Test]],(VLOOKUP(Data[[#This Row],[Product Family]],ProdFam[],3,FALSE)),(VLOOKUP(Data[[#This Row],[Product Family]],ProdFam[],2,FALSE)))</f>
        <v>47</v>
      </c>
    </row>
    <row r="237" spans="2:15" x14ac:dyDescent="0.25">
      <c r="B237" s="1">
        <f>WEEKNUM(Data[[#This Row],[Date]],1)</f>
        <v>43</v>
      </c>
      <c r="C237" s="1">
        <f>YEAR(Data[[#This Row],[Date]])</f>
        <v>2019</v>
      </c>
      <c r="D237" s="5">
        <v>43760</v>
      </c>
      <c r="E237" s="1" t="s">
        <v>122</v>
      </c>
      <c r="F237" s="1">
        <v>28712</v>
      </c>
      <c r="G237" s="1" t="s">
        <v>8</v>
      </c>
      <c r="H237" s="1" t="s">
        <v>112</v>
      </c>
      <c r="I237" s="1" t="s">
        <v>0</v>
      </c>
      <c r="J237" s="1">
        <v>21</v>
      </c>
      <c r="K237" s="1">
        <f>J237*(IF(I237=ProdFam[[#Headers],[Test]],(VLOOKUP(Data[[#This Row],[Product Family]],ProdFam[],3,FALSE)),(VLOOKUP(Data[[#This Row],[Product Family]],ProdFam[],2,FALSE))))</f>
        <v>210</v>
      </c>
      <c r="L237" s="1">
        <v>105</v>
      </c>
      <c r="M237" s="1">
        <v>0</v>
      </c>
      <c r="N237" s="7" t="str">
        <f>IFERROR(Data[[#This Row],[Actual Time]]/Data[[#This Row],[QTY Complete]],"")</f>
        <v/>
      </c>
      <c r="O237" s="7">
        <f>IF(I237=ProdFam[[#Headers],[Test]],(VLOOKUP(Data[[#This Row],[Product Family]],ProdFam[],3,FALSE)),(VLOOKUP(Data[[#This Row],[Product Family]],ProdFam[],2,FALSE)))</f>
        <v>10</v>
      </c>
    </row>
    <row r="238" spans="2:15" x14ac:dyDescent="0.25">
      <c r="B238" s="1">
        <f>WEEKNUM(Data[[#This Row],[Date]],1)</f>
        <v>43</v>
      </c>
      <c r="C238" s="1">
        <f>YEAR(Data[[#This Row],[Date]])</f>
        <v>2019</v>
      </c>
      <c r="D238" s="5">
        <v>43760</v>
      </c>
      <c r="E238" s="1" t="s">
        <v>118</v>
      </c>
      <c r="F238" s="1">
        <v>28655</v>
      </c>
      <c r="G238" s="1" t="s">
        <v>11</v>
      </c>
      <c r="H238" s="1" t="s">
        <v>113</v>
      </c>
      <c r="I238" s="1" t="s">
        <v>0</v>
      </c>
      <c r="J238" s="1">
        <v>4</v>
      </c>
      <c r="K238" s="1">
        <f>J238*(IF(I238=ProdFam[[#Headers],[Test]],(VLOOKUP(Data[[#This Row],[Product Family]],ProdFam[],3,FALSE)),(VLOOKUP(Data[[#This Row],[Product Family]],ProdFam[],2,FALSE))))</f>
        <v>188</v>
      </c>
      <c r="L238" s="1">
        <v>150</v>
      </c>
      <c r="M238" s="1">
        <v>4</v>
      </c>
      <c r="N238" s="7">
        <f>IFERROR(Data[[#This Row],[Actual Time]]/Data[[#This Row],[QTY Complete]],"")</f>
        <v>37.5</v>
      </c>
      <c r="O238" s="7">
        <f>IF(I238=ProdFam[[#Headers],[Test]],(VLOOKUP(Data[[#This Row],[Product Family]],ProdFam[],3,FALSE)),(VLOOKUP(Data[[#This Row],[Product Family]],ProdFam[],2,FALSE)))</f>
        <v>47</v>
      </c>
    </row>
    <row r="239" spans="2:15" x14ac:dyDescent="0.25">
      <c r="B239" s="1">
        <f>WEEKNUM(Data[[#This Row],[Date]],1)</f>
        <v>43</v>
      </c>
      <c r="C239" s="1">
        <f>YEAR(Data[[#This Row],[Date]])</f>
        <v>2019</v>
      </c>
      <c r="D239" s="5">
        <v>43760</v>
      </c>
      <c r="E239" s="1" t="s">
        <v>118</v>
      </c>
      <c r="F239" s="1">
        <v>28573</v>
      </c>
      <c r="G239" s="1" t="s">
        <v>65</v>
      </c>
      <c r="H239" s="1" t="s">
        <v>113</v>
      </c>
      <c r="I239" s="1" t="s">
        <v>0</v>
      </c>
      <c r="J239" s="1">
        <v>9</v>
      </c>
      <c r="K239" s="1">
        <f>J239*(IF(I239=ProdFam[[#Headers],[Test]],(VLOOKUP(Data[[#This Row],[Product Family]],ProdFam[],3,FALSE)),(VLOOKUP(Data[[#This Row],[Product Family]],ProdFam[],2,FALSE))))</f>
        <v>423</v>
      </c>
      <c r="L239" s="1">
        <v>20</v>
      </c>
      <c r="M239" s="1">
        <v>9</v>
      </c>
      <c r="N239" s="7">
        <f>IFERROR(Data[[#This Row],[Actual Time]]/Data[[#This Row],[QTY Complete]],"")</f>
        <v>2.2222222222222223</v>
      </c>
      <c r="O239" s="7">
        <f>IF(I239=ProdFam[[#Headers],[Test]],(VLOOKUP(Data[[#This Row],[Product Family]],ProdFam[],3,FALSE)),(VLOOKUP(Data[[#This Row],[Product Family]],ProdFam[],2,FALSE)))</f>
        <v>47</v>
      </c>
    </row>
    <row r="240" spans="2:15" x14ac:dyDescent="0.25">
      <c r="B240" s="1">
        <f>WEEKNUM(Data[[#This Row],[Date]],1)</f>
        <v>43</v>
      </c>
      <c r="C240" s="1">
        <f>YEAR(Data[[#This Row],[Date]])</f>
        <v>2019</v>
      </c>
      <c r="D240" s="5">
        <v>43760</v>
      </c>
      <c r="E240" s="1" t="s">
        <v>118</v>
      </c>
      <c r="F240" s="1">
        <v>28776</v>
      </c>
      <c r="G240" s="1" t="s">
        <v>17</v>
      </c>
      <c r="H240" s="1" t="s">
        <v>113</v>
      </c>
      <c r="I240" s="1" t="s">
        <v>0</v>
      </c>
      <c r="J240" s="1">
        <v>3</v>
      </c>
      <c r="K240" s="1">
        <f>J240*(IF(I240=ProdFam[[#Headers],[Test]],(VLOOKUP(Data[[#This Row],[Product Family]],ProdFam[],3,FALSE)),(VLOOKUP(Data[[#This Row],[Product Family]],ProdFam[],2,FALSE))))</f>
        <v>141</v>
      </c>
      <c r="L240" s="1">
        <v>190</v>
      </c>
      <c r="M240" s="1">
        <v>3</v>
      </c>
      <c r="N240" s="7">
        <f>IFERROR(Data[[#This Row],[Actual Time]]/Data[[#This Row],[QTY Complete]],"")</f>
        <v>63.333333333333336</v>
      </c>
      <c r="O240" s="7">
        <f>IF(I240=ProdFam[[#Headers],[Test]],(VLOOKUP(Data[[#This Row],[Product Family]],ProdFam[],3,FALSE)),(VLOOKUP(Data[[#This Row],[Product Family]],ProdFam[],2,FALSE)))</f>
        <v>47</v>
      </c>
    </row>
    <row r="241" spans="2:15" x14ac:dyDescent="0.25">
      <c r="B241" s="1">
        <f>WEEKNUM(Data[[#This Row],[Date]],1)</f>
        <v>43</v>
      </c>
      <c r="C241" s="1">
        <f>YEAR(Data[[#This Row],[Date]])</f>
        <v>2019</v>
      </c>
      <c r="D241" s="5">
        <v>43760</v>
      </c>
      <c r="E241" s="1" t="s">
        <v>118</v>
      </c>
      <c r="F241" s="1">
        <v>28775</v>
      </c>
      <c r="G241" s="1" t="s">
        <v>11</v>
      </c>
      <c r="H241" s="1" t="s">
        <v>113</v>
      </c>
      <c r="I241" s="1" t="s">
        <v>0</v>
      </c>
      <c r="J241" s="1">
        <v>2</v>
      </c>
      <c r="K241" s="1">
        <f>J241*(IF(I241=ProdFam[[#Headers],[Test]],(VLOOKUP(Data[[#This Row],[Product Family]],ProdFam[],3,FALSE)),(VLOOKUP(Data[[#This Row],[Product Family]],ProdFam[],2,FALSE))))</f>
        <v>94</v>
      </c>
      <c r="L241" s="1">
        <v>20</v>
      </c>
      <c r="M241" s="1">
        <v>0</v>
      </c>
      <c r="N241" s="7" t="str">
        <f>IFERROR(Data[[#This Row],[Actual Time]]/Data[[#This Row],[QTY Complete]],"")</f>
        <v/>
      </c>
      <c r="O241" s="7">
        <f>IF(I241=ProdFam[[#Headers],[Test]],(VLOOKUP(Data[[#This Row],[Product Family]],ProdFam[],3,FALSE)),(VLOOKUP(Data[[#This Row],[Product Family]],ProdFam[],2,FALSE)))</f>
        <v>47</v>
      </c>
    </row>
    <row r="242" spans="2:15" x14ac:dyDescent="0.25">
      <c r="B242" s="1">
        <f>WEEKNUM(Data[[#This Row],[Date]],1)</f>
        <v>43</v>
      </c>
      <c r="C242" s="1">
        <f>YEAR(Data[[#This Row],[Date]])</f>
        <v>2019</v>
      </c>
      <c r="D242" s="5">
        <v>43761</v>
      </c>
      <c r="E242" s="1" t="s">
        <v>118</v>
      </c>
      <c r="F242" s="1">
        <v>28775</v>
      </c>
      <c r="G242" s="1" t="s">
        <v>66</v>
      </c>
      <c r="H242" s="1" t="s">
        <v>113</v>
      </c>
      <c r="I242" s="1" t="s">
        <v>0</v>
      </c>
      <c r="J242" s="1">
        <v>2</v>
      </c>
      <c r="K242" s="1">
        <f>J242*(IF(I242=ProdFam[[#Headers],[Test]],(VLOOKUP(Data[[#This Row],[Product Family]],ProdFam[],3,FALSE)),(VLOOKUP(Data[[#This Row],[Product Family]],ProdFam[],2,FALSE))))</f>
        <v>94</v>
      </c>
      <c r="L242" s="1">
        <v>130</v>
      </c>
      <c r="M242" s="1">
        <v>2</v>
      </c>
      <c r="N242" s="7">
        <f>IFERROR(Data[[#This Row],[Actual Time]]/Data[[#This Row],[QTY Complete]],"")</f>
        <v>65</v>
      </c>
      <c r="O242" s="7">
        <f>IF(I242=ProdFam[[#Headers],[Test]],(VLOOKUP(Data[[#This Row],[Product Family]],ProdFam[],3,FALSE)),(VLOOKUP(Data[[#This Row],[Product Family]],ProdFam[],2,FALSE)))</f>
        <v>47</v>
      </c>
    </row>
    <row r="243" spans="2:15" x14ac:dyDescent="0.25">
      <c r="B243" s="1">
        <f>WEEKNUM(Data[[#This Row],[Date]],1)</f>
        <v>43</v>
      </c>
      <c r="C243" s="1">
        <f>YEAR(Data[[#This Row],[Date]])</f>
        <v>2019</v>
      </c>
      <c r="D243" s="5">
        <v>43761</v>
      </c>
      <c r="E243" s="1" t="s">
        <v>118</v>
      </c>
      <c r="F243" s="1">
        <v>28639</v>
      </c>
      <c r="G243" s="1" t="s">
        <v>15</v>
      </c>
      <c r="H243" s="1" t="s">
        <v>113</v>
      </c>
      <c r="I243" s="1" t="s">
        <v>0</v>
      </c>
      <c r="J243" s="1">
        <v>8</v>
      </c>
      <c r="K243" s="1">
        <f>J243*(IF(I243=ProdFam[[#Headers],[Test]],(VLOOKUP(Data[[#This Row],[Product Family]],ProdFam[],3,FALSE)),(VLOOKUP(Data[[#This Row],[Product Family]],ProdFam[],2,FALSE))))</f>
        <v>376</v>
      </c>
      <c r="L243" s="1">
        <v>270</v>
      </c>
      <c r="M243" s="1">
        <v>0</v>
      </c>
      <c r="N243" s="7" t="str">
        <f>IFERROR(Data[[#This Row],[Actual Time]]/Data[[#This Row],[QTY Complete]],"")</f>
        <v/>
      </c>
      <c r="O243" s="7">
        <f>IF(I243=ProdFam[[#Headers],[Test]],(VLOOKUP(Data[[#This Row],[Product Family]],ProdFam[],3,FALSE)),(VLOOKUP(Data[[#This Row],[Product Family]],ProdFam[],2,FALSE)))</f>
        <v>47</v>
      </c>
    </row>
    <row r="244" spans="2:15" x14ac:dyDescent="0.25">
      <c r="B244" s="1">
        <f>WEEKNUM(Data[[#This Row],[Date]],1)</f>
        <v>43</v>
      </c>
      <c r="C244" s="1">
        <f>YEAR(Data[[#This Row],[Date]])</f>
        <v>2019</v>
      </c>
      <c r="D244" s="5">
        <v>43761</v>
      </c>
      <c r="E244" s="1" t="s">
        <v>122</v>
      </c>
      <c r="F244" s="1">
        <v>28712</v>
      </c>
      <c r="G244" s="1" t="s">
        <v>8</v>
      </c>
      <c r="H244" s="1" t="s">
        <v>112</v>
      </c>
      <c r="I244" s="1" t="s">
        <v>0</v>
      </c>
      <c r="J244" s="1">
        <v>21</v>
      </c>
      <c r="K244" s="1">
        <f>J244*(IF(I244=ProdFam[[#Headers],[Test]],(VLOOKUP(Data[[#This Row],[Product Family]],ProdFam[],3,FALSE)),(VLOOKUP(Data[[#This Row],[Product Family]],ProdFam[],2,FALSE))))</f>
        <v>210</v>
      </c>
      <c r="L244" s="1">
        <v>105</v>
      </c>
      <c r="M244" s="1">
        <v>21</v>
      </c>
      <c r="N244" s="7">
        <f>IFERROR(Data[[#This Row],[Actual Time]]/Data[[#This Row],[QTY Complete]],"")</f>
        <v>5</v>
      </c>
      <c r="O244" s="7">
        <f>IF(I244=ProdFam[[#Headers],[Test]],(VLOOKUP(Data[[#This Row],[Product Family]],ProdFam[],3,FALSE)),(VLOOKUP(Data[[#This Row],[Product Family]],ProdFam[],2,FALSE)))</f>
        <v>10</v>
      </c>
    </row>
    <row r="245" spans="2:15" x14ac:dyDescent="0.25">
      <c r="B245" s="1">
        <f>WEEKNUM(Data[[#This Row],[Date]],1)</f>
        <v>43</v>
      </c>
      <c r="C245" s="1">
        <f>YEAR(Data[[#This Row],[Date]])</f>
        <v>2019</v>
      </c>
      <c r="D245" s="5">
        <v>43761</v>
      </c>
      <c r="E245" s="1" t="s">
        <v>122</v>
      </c>
      <c r="F245" s="1">
        <v>28704</v>
      </c>
      <c r="G245" s="1" t="s">
        <v>40</v>
      </c>
      <c r="H245" s="1" t="s">
        <v>113</v>
      </c>
      <c r="I245" s="1" t="s">
        <v>0</v>
      </c>
      <c r="J245" s="1">
        <v>4</v>
      </c>
      <c r="K245" s="1">
        <f>J245*(IF(I245=ProdFam[[#Headers],[Test]],(VLOOKUP(Data[[#This Row],[Product Family]],ProdFam[],3,FALSE)),(VLOOKUP(Data[[#This Row],[Product Family]],ProdFam[],2,FALSE))))</f>
        <v>188</v>
      </c>
      <c r="L245" s="1">
        <v>180</v>
      </c>
      <c r="M245" s="1">
        <v>4</v>
      </c>
      <c r="N245" s="7">
        <f>IFERROR(Data[[#This Row],[Actual Time]]/Data[[#This Row],[QTY Complete]],"")</f>
        <v>45</v>
      </c>
      <c r="O245" s="7">
        <f>IF(I245=ProdFam[[#Headers],[Test]],(VLOOKUP(Data[[#This Row],[Product Family]],ProdFam[],3,FALSE)),(VLOOKUP(Data[[#This Row],[Product Family]],ProdFam[],2,FALSE)))</f>
        <v>47</v>
      </c>
    </row>
    <row r="246" spans="2:15" x14ac:dyDescent="0.25">
      <c r="B246" s="1">
        <f>WEEKNUM(Data[[#This Row],[Date]],1)</f>
        <v>43</v>
      </c>
      <c r="C246" s="1">
        <f>YEAR(Data[[#This Row],[Date]])</f>
        <v>2019</v>
      </c>
      <c r="D246" s="5">
        <v>43761</v>
      </c>
      <c r="E246" s="1" t="s">
        <v>122</v>
      </c>
      <c r="F246" s="1">
        <v>28777</v>
      </c>
      <c r="G246" s="1" t="s">
        <v>67</v>
      </c>
      <c r="H246" s="1" t="s">
        <v>113</v>
      </c>
      <c r="I246" s="1" t="s">
        <v>0</v>
      </c>
      <c r="J246" s="1">
        <v>6</v>
      </c>
      <c r="K246" s="1">
        <f>J246*(IF(I246=ProdFam[[#Headers],[Test]],(VLOOKUP(Data[[#This Row],[Product Family]],ProdFam[],3,FALSE)),(VLOOKUP(Data[[#This Row],[Product Family]],ProdFam[],2,FALSE))))</f>
        <v>282</v>
      </c>
      <c r="L246" s="1">
        <v>210</v>
      </c>
      <c r="M246" s="1">
        <v>6</v>
      </c>
      <c r="N246" s="7">
        <f>IFERROR(Data[[#This Row],[Actual Time]]/Data[[#This Row],[QTY Complete]],"")</f>
        <v>35</v>
      </c>
      <c r="O246" s="7">
        <f>IF(I246=ProdFam[[#Headers],[Test]],(VLOOKUP(Data[[#This Row],[Product Family]],ProdFam[],3,FALSE)),(VLOOKUP(Data[[#This Row],[Product Family]],ProdFam[],2,FALSE)))</f>
        <v>47</v>
      </c>
    </row>
    <row r="247" spans="2:15" x14ac:dyDescent="0.25">
      <c r="B247" s="1">
        <f>WEEKNUM(Data[[#This Row],[Date]],1)</f>
        <v>43</v>
      </c>
      <c r="C247" s="1">
        <f>YEAR(Data[[#This Row],[Date]])</f>
        <v>2019</v>
      </c>
      <c r="D247" s="5">
        <v>43761</v>
      </c>
      <c r="E247" s="1" t="s">
        <v>122</v>
      </c>
      <c r="F247" s="1">
        <v>28699</v>
      </c>
      <c r="G247" s="1" t="s">
        <v>28</v>
      </c>
      <c r="H247" s="1" t="s">
        <v>113</v>
      </c>
      <c r="I247" s="1" t="s">
        <v>0</v>
      </c>
      <c r="J247" s="1">
        <v>8</v>
      </c>
      <c r="K247" s="1">
        <f>J247*(IF(I247=ProdFam[[#Headers],[Test]],(VLOOKUP(Data[[#This Row],[Product Family]],ProdFam[],3,FALSE)),(VLOOKUP(Data[[#This Row],[Product Family]],ProdFam[],2,FALSE))))</f>
        <v>376</v>
      </c>
      <c r="L247" s="1">
        <v>195</v>
      </c>
      <c r="M247" s="1">
        <v>0</v>
      </c>
      <c r="N247" s="7" t="str">
        <f>IFERROR(Data[[#This Row],[Actual Time]]/Data[[#This Row],[QTY Complete]],"")</f>
        <v/>
      </c>
      <c r="O247" s="7">
        <f>IF(I247=ProdFam[[#Headers],[Test]],(VLOOKUP(Data[[#This Row],[Product Family]],ProdFam[],3,FALSE)),(VLOOKUP(Data[[#This Row],[Product Family]],ProdFam[],2,FALSE)))</f>
        <v>47</v>
      </c>
    </row>
    <row r="248" spans="2:15" x14ac:dyDescent="0.25">
      <c r="B248" s="1">
        <f>WEEKNUM(Data[[#This Row],[Date]],1)</f>
        <v>43</v>
      </c>
      <c r="C248" s="1">
        <f>YEAR(Data[[#This Row],[Date]])</f>
        <v>2019</v>
      </c>
      <c r="D248" s="5">
        <v>43761</v>
      </c>
      <c r="E248" s="1" t="s">
        <v>111</v>
      </c>
      <c r="F248" s="1">
        <v>28537</v>
      </c>
      <c r="G248" s="1" t="s">
        <v>32</v>
      </c>
      <c r="H248" s="1" t="s">
        <v>112</v>
      </c>
      <c r="I248" s="1" t="s">
        <v>1</v>
      </c>
      <c r="J248" s="1">
        <v>18</v>
      </c>
      <c r="K248" s="1">
        <f>J248*(IF(I248=ProdFam[[#Headers],[Test]],(VLOOKUP(Data[[#This Row],[Product Family]],ProdFam[],3,FALSE)),(VLOOKUP(Data[[#This Row],[Product Family]],ProdFam[],2,FALSE))))</f>
        <v>180</v>
      </c>
      <c r="L248" s="1">
        <v>120</v>
      </c>
      <c r="M248" s="1">
        <v>18</v>
      </c>
      <c r="N248" s="7">
        <f>IFERROR(Data[[#This Row],[Actual Time]]/Data[[#This Row],[QTY Complete]],"")</f>
        <v>6.666666666666667</v>
      </c>
      <c r="O248" s="7">
        <f>IF(I248=ProdFam[[#Headers],[Test]],(VLOOKUP(Data[[#This Row],[Product Family]],ProdFam[],3,FALSE)),(VLOOKUP(Data[[#This Row],[Product Family]],ProdFam[],2,FALSE)))</f>
        <v>10</v>
      </c>
    </row>
    <row r="249" spans="2:15" x14ac:dyDescent="0.25">
      <c r="B249" s="1">
        <f>WEEKNUM(Data[[#This Row],[Date]],1)</f>
        <v>43</v>
      </c>
      <c r="C249" s="1">
        <f>YEAR(Data[[#This Row],[Date]])</f>
        <v>2019</v>
      </c>
      <c r="D249" s="5">
        <v>43761</v>
      </c>
      <c r="E249" s="1" t="s">
        <v>111</v>
      </c>
      <c r="F249" s="1">
        <v>28623</v>
      </c>
      <c r="G249" s="1" t="s">
        <v>41</v>
      </c>
      <c r="H249" s="1" t="s">
        <v>113</v>
      </c>
      <c r="I249" s="1" t="s">
        <v>1</v>
      </c>
      <c r="J249" s="1">
        <v>8</v>
      </c>
      <c r="K249" s="1">
        <f>J249*(IF(I249=ProdFam[[#Headers],[Test]],(VLOOKUP(Data[[#This Row],[Product Family]],ProdFam[],3,FALSE)),(VLOOKUP(Data[[#This Row],[Product Family]],ProdFam[],2,FALSE))))</f>
        <v>256</v>
      </c>
      <c r="L249" s="1">
        <v>300</v>
      </c>
      <c r="M249" s="1">
        <v>7</v>
      </c>
      <c r="N249" s="7">
        <f>IFERROR(Data[[#This Row],[Actual Time]]/Data[[#This Row],[QTY Complete]],"")</f>
        <v>42.857142857142854</v>
      </c>
      <c r="O249" s="7">
        <f>IF(I249=ProdFam[[#Headers],[Test]],(VLOOKUP(Data[[#This Row],[Product Family]],ProdFam[],3,FALSE)),(VLOOKUP(Data[[#This Row],[Product Family]],ProdFam[],2,FALSE)))</f>
        <v>32</v>
      </c>
    </row>
    <row r="250" spans="2:15" x14ac:dyDescent="0.25">
      <c r="B250" s="1">
        <f>WEEKNUM(Data[[#This Row],[Date]],1)</f>
        <v>43</v>
      </c>
      <c r="C250" s="1">
        <f>YEAR(Data[[#This Row],[Date]])</f>
        <v>2019</v>
      </c>
      <c r="D250" s="5">
        <v>43761</v>
      </c>
      <c r="E250" s="1" t="s">
        <v>111</v>
      </c>
      <c r="F250" s="1">
        <v>28776</v>
      </c>
      <c r="G250" s="1" t="s">
        <v>17</v>
      </c>
      <c r="H250" s="1" t="s">
        <v>113</v>
      </c>
      <c r="I250" s="1" t="s">
        <v>1</v>
      </c>
      <c r="J250" s="1">
        <v>3</v>
      </c>
      <c r="K250" s="1">
        <f>J250*(IF(I250=ProdFam[[#Headers],[Test]],(VLOOKUP(Data[[#This Row],[Product Family]],ProdFam[],3,FALSE)),(VLOOKUP(Data[[#This Row],[Product Family]],ProdFam[],2,FALSE))))</f>
        <v>96</v>
      </c>
      <c r="L250" s="1">
        <v>90</v>
      </c>
      <c r="M250" s="1">
        <v>3</v>
      </c>
      <c r="N250" s="7">
        <f>IFERROR(Data[[#This Row],[Actual Time]]/Data[[#This Row],[QTY Complete]],"")</f>
        <v>30</v>
      </c>
      <c r="O250" s="7">
        <f>IF(I250=ProdFam[[#Headers],[Test]],(VLOOKUP(Data[[#This Row],[Product Family]],ProdFam[],3,FALSE)),(VLOOKUP(Data[[#This Row],[Product Family]],ProdFam[],2,FALSE)))</f>
        <v>32</v>
      </c>
    </row>
    <row r="251" spans="2:15" x14ac:dyDescent="0.25">
      <c r="B251" s="1">
        <f>WEEKNUM(Data[[#This Row],[Date]],1)</f>
        <v>43</v>
      </c>
      <c r="C251" s="1">
        <f>YEAR(Data[[#This Row],[Date]])</f>
        <v>2019</v>
      </c>
      <c r="D251" s="5">
        <v>43761</v>
      </c>
      <c r="E251" s="1" t="s">
        <v>119</v>
      </c>
      <c r="F251" s="1">
        <v>28606</v>
      </c>
      <c r="G251" s="1" t="s">
        <v>25</v>
      </c>
      <c r="H251" s="1" t="s">
        <v>113</v>
      </c>
      <c r="I251" s="1" t="s">
        <v>1</v>
      </c>
      <c r="J251" s="1">
        <v>10</v>
      </c>
      <c r="K251" s="1">
        <f>J251*(IF(I251=ProdFam[[#Headers],[Test]],(VLOOKUP(Data[[#This Row],[Product Family]],ProdFam[],3,FALSE)),(VLOOKUP(Data[[#This Row],[Product Family]],ProdFam[],2,FALSE))))</f>
        <v>320</v>
      </c>
      <c r="L251" s="1">
        <v>265</v>
      </c>
      <c r="M251" s="1">
        <v>10</v>
      </c>
      <c r="N251" s="7">
        <f>IFERROR(Data[[#This Row],[Actual Time]]/Data[[#This Row],[QTY Complete]],"")</f>
        <v>26.5</v>
      </c>
      <c r="O251" s="7">
        <f>IF(I251=ProdFam[[#Headers],[Test]],(VLOOKUP(Data[[#This Row],[Product Family]],ProdFam[],3,FALSE)),(VLOOKUP(Data[[#This Row],[Product Family]],ProdFam[],2,FALSE)))</f>
        <v>32</v>
      </c>
    </row>
    <row r="252" spans="2:15" x14ac:dyDescent="0.25">
      <c r="B252" s="1">
        <f>WEEKNUM(Data[[#This Row],[Date]],1)</f>
        <v>43</v>
      </c>
      <c r="C252" s="1">
        <f>YEAR(Data[[#This Row],[Date]])</f>
        <v>2019</v>
      </c>
      <c r="D252" s="5">
        <v>43761</v>
      </c>
      <c r="E252" s="1" t="s">
        <v>119</v>
      </c>
      <c r="F252" s="1">
        <v>28704</v>
      </c>
      <c r="G252" s="1" t="s">
        <v>40</v>
      </c>
      <c r="H252" s="1" t="s">
        <v>113</v>
      </c>
      <c r="I252" s="1" t="s">
        <v>1</v>
      </c>
      <c r="J252" s="1">
        <v>4</v>
      </c>
      <c r="K252" s="1">
        <f>J252*(IF(I252=ProdFam[[#Headers],[Test]],(VLOOKUP(Data[[#This Row],[Product Family]],ProdFam[],3,FALSE)),(VLOOKUP(Data[[#This Row],[Product Family]],ProdFam[],2,FALSE))))</f>
        <v>128</v>
      </c>
      <c r="L252" s="1">
        <v>50</v>
      </c>
      <c r="M252" s="1">
        <v>4</v>
      </c>
      <c r="N252" s="7">
        <f>IFERROR(Data[[#This Row],[Actual Time]]/Data[[#This Row],[QTY Complete]],"")</f>
        <v>12.5</v>
      </c>
      <c r="O252" s="7">
        <f>IF(I252=ProdFam[[#Headers],[Test]],(VLOOKUP(Data[[#This Row],[Product Family]],ProdFam[],3,FALSE)),(VLOOKUP(Data[[#This Row],[Product Family]],ProdFam[],2,FALSE)))</f>
        <v>32</v>
      </c>
    </row>
    <row r="253" spans="2:15" x14ac:dyDescent="0.25">
      <c r="B253" s="1">
        <f>WEEKNUM(Data[[#This Row],[Date]],1)</f>
        <v>43</v>
      </c>
      <c r="C253" s="1">
        <f>YEAR(Data[[#This Row],[Date]])</f>
        <v>2019</v>
      </c>
      <c r="D253" s="5">
        <v>43761</v>
      </c>
      <c r="E253" s="1" t="s">
        <v>119</v>
      </c>
      <c r="F253" s="1">
        <v>28775</v>
      </c>
      <c r="G253" s="1" t="s">
        <v>66</v>
      </c>
      <c r="H253" s="1" t="s">
        <v>113</v>
      </c>
      <c r="I253" s="1" t="s">
        <v>1</v>
      </c>
      <c r="J253" s="1">
        <v>2</v>
      </c>
      <c r="K253" s="1">
        <f>J253*(IF(I253=ProdFam[[#Headers],[Test]],(VLOOKUP(Data[[#This Row],[Product Family]],ProdFam[],3,FALSE)),(VLOOKUP(Data[[#This Row],[Product Family]],ProdFam[],2,FALSE))))</f>
        <v>64</v>
      </c>
      <c r="L253" s="1">
        <v>40</v>
      </c>
      <c r="M253" s="1">
        <v>2</v>
      </c>
      <c r="N253" s="7">
        <f>IFERROR(Data[[#This Row],[Actual Time]]/Data[[#This Row],[QTY Complete]],"")</f>
        <v>20</v>
      </c>
      <c r="O253" s="7">
        <f>IF(I253=ProdFam[[#Headers],[Test]],(VLOOKUP(Data[[#This Row],[Product Family]],ProdFam[],3,FALSE)),(VLOOKUP(Data[[#This Row],[Product Family]],ProdFam[],2,FALSE)))</f>
        <v>32</v>
      </c>
    </row>
    <row r="254" spans="2:15" x14ac:dyDescent="0.25">
      <c r="B254" s="1">
        <f>WEEKNUM(Data[[#This Row],[Date]],1)</f>
        <v>43</v>
      </c>
      <c r="C254" s="1">
        <f>YEAR(Data[[#This Row],[Date]])</f>
        <v>2019</v>
      </c>
      <c r="D254" s="5">
        <v>43761</v>
      </c>
      <c r="E254" s="1" t="s">
        <v>117</v>
      </c>
      <c r="F254" s="1">
        <v>28655</v>
      </c>
      <c r="G254" s="1" t="s">
        <v>11</v>
      </c>
      <c r="H254" s="1" t="s">
        <v>113</v>
      </c>
      <c r="I254" s="1" t="s">
        <v>1</v>
      </c>
      <c r="J254" s="1">
        <v>4</v>
      </c>
      <c r="K254" s="1">
        <f>J254*(IF(I254=ProdFam[[#Headers],[Test]],(VLOOKUP(Data[[#This Row],[Product Family]],ProdFam[],3,FALSE)),(VLOOKUP(Data[[#This Row],[Product Family]],ProdFam[],2,FALSE))))</f>
        <v>128</v>
      </c>
      <c r="L254" s="1">
        <v>95</v>
      </c>
      <c r="M254" s="1">
        <v>4</v>
      </c>
      <c r="N254" s="7">
        <f>IFERROR(Data[[#This Row],[Actual Time]]/Data[[#This Row],[QTY Complete]],"")</f>
        <v>23.75</v>
      </c>
      <c r="O254" s="7">
        <f>IF(I254=ProdFam[[#Headers],[Test]],(VLOOKUP(Data[[#This Row],[Product Family]],ProdFam[],3,FALSE)),(VLOOKUP(Data[[#This Row],[Product Family]],ProdFam[],2,FALSE)))</f>
        <v>32</v>
      </c>
    </row>
    <row r="255" spans="2:15" x14ac:dyDescent="0.25">
      <c r="B255" s="1">
        <f>WEEKNUM(Data[[#This Row],[Date]],1)</f>
        <v>43</v>
      </c>
      <c r="C255" s="1">
        <f>YEAR(Data[[#This Row],[Date]])</f>
        <v>2019</v>
      </c>
      <c r="D255" s="5">
        <v>43761</v>
      </c>
      <c r="E255" s="1" t="s">
        <v>117</v>
      </c>
      <c r="F255" s="1">
        <v>28478</v>
      </c>
      <c r="G255" s="1" t="s">
        <v>60</v>
      </c>
      <c r="H255" s="1" t="s">
        <v>113</v>
      </c>
      <c r="I255" s="1" t="s">
        <v>1</v>
      </c>
      <c r="J255" s="1">
        <v>5</v>
      </c>
      <c r="K255" s="1">
        <f>J255*(IF(I255=ProdFam[[#Headers],[Test]],(VLOOKUP(Data[[#This Row],[Product Family]],ProdFam[],3,FALSE)),(VLOOKUP(Data[[#This Row],[Product Family]],ProdFam[],2,FALSE))))</f>
        <v>160</v>
      </c>
      <c r="L255" s="1">
        <v>65</v>
      </c>
      <c r="M255" s="1">
        <v>5</v>
      </c>
      <c r="N255" s="7">
        <f>IFERROR(Data[[#This Row],[Actual Time]]/Data[[#This Row],[QTY Complete]],"")</f>
        <v>13</v>
      </c>
      <c r="O255" s="7">
        <f>IF(I255=ProdFam[[#Headers],[Test]],(VLOOKUP(Data[[#This Row],[Product Family]],ProdFam[],3,FALSE)),(VLOOKUP(Data[[#This Row],[Product Family]],ProdFam[],2,FALSE)))</f>
        <v>32</v>
      </c>
    </row>
    <row r="256" spans="2:15" x14ac:dyDescent="0.25">
      <c r="B256" s="1">
        <f>WEEKNUM(Data[[#This Row],[Date]],1)</f>
        <v>43</v>
      </c>
      <c r="C256" s="1">
        <f>YEAR(Data[[#This Row],[Date]])</f>
        <v>2019</v>
      </c>
      <c r="D256" s="5">
        <v>43761</v>
      </c>
      <c r="E256" s="1" t="s">
        <v>117</v>
      </c>
      <c r="F256" s="1">
        <v>28713</v>
      </c>
      <c r="G256" s="1" t="s">
        <v>13</v>
      </c>
      <c r="H256" s="1" t="s">
        <v>113</v>
      </c>
      <c r="I256" s="1" t="s">
        <v>1</v>
      </c>
      <c r="J256" s="1">
        <v>4</v>
      </c>
      <c r="K256" s="1">
        <f>J256*(IF(I256=ProdFam[[#Headers],[Test]],(VLOOKUP(Data[[#This Row],[Product Family]],ProdFam[],3,FALSE)),(VLOOKUP(Data[[#This Row],[Product Family]],ProdFam[],2,FALSE))))</f>
        <v>128</v>
      </c>
      <c r="L256" s="1">
        <v>86</v>
      </c>
      <c r="M256" s="1">
        <v>4</v>
      </c>
      <c r="N256" s="7">
        <f>IFERROR(Data[[#This Row],[Actual Time]]/Data[[#This Row],[QTY Complete]],"")</f>
        <v>21.5</v>
      </c>
      <c r="O256" s="7">
        <f>IF(I256=ProdFam[[#Headers],[Test]],(VLOOKUP(Data[[#This Row],[Product Family]],ProdFam[],3,FALSE)),(VLOOKUP(Data[[#This Row],[Product Family]],ProdFam[],2,FALSE)))</f>
        <v>32</v>
      </c>
    </row>
    <row r="257" spans="2:15" x14ac:dyDescent="0.25">
      <c r="B257" s="1">
        <f>WEEKNUM(Data[[#This Row],[Date]],1)</f>
        <v>43</v>
      </c>
      <c r="C257" s="1">
        <f>YEAR(Data[[#This Row],[Date]])</f>
        <v>2019</v>
      </c>
      <c r="D257" s="5">
        <v>43761</v>
      </c>
      <c r="E257" s="1" t="s">
        <v>117</v>
      </c>
      <c r="F257" s="1">
        <v>28568</v>
      </c>
      <c r="G257" s="1" t="s">
        <v>50</v>
      </c>
      <c r="H257" s="1" t="s">
        <v>113</v>
      </c>
      <c r="I257" s="1" t="s">
        <v>1</v>
      </c>
      <c r="J257" s="1">
        <v>5</v>
      </c>
      <c r="K257" s="1">
        <f>J257*(IF(I257=ProdFam[[#Headers],[Test]],(VLOOKUP(Data[[#This Row],[Product Family]],ProdFam[],3,FALSE)),(VLOOKUP(Data[[#This Row],[Product Family]],ProdFam[],2,FALSE))))</f>
        <v>160</v>
      </c>
      <c r="L257" s="1">
        <v>78</v>
      </c>
      <c r="M257" s="1">
        <v>4</v>
      </c>
      <c r="N257" s="7">
        <f>IFERROR(Data[[#This Row],[Actual Time]]/Data[[#This Row],[QTY Complete]],"")</f>
        <v>19.5</v>
      </c>
      <c r="O257" s="7">
        <f>IF(I257=ProdFam[[#Headers],[Test]],(VLOOKUP(Data[[#This Row],[Product Family]],ProdFam[],3,FALSE)),(VLOOKUP(Data[[#This Row],[Product Family]],ProdFam[],2,FALSE)))</f>
        <v>32</v>
      </c>
    </row>
    <row r="258" spans="2:15" x14ac:dyDescent="0.25">
      <c r="B258" s="1">
        <f>WEEKNUM(Data[[#This Row],[Date]],1)</f>
        <v>43</v>
      </c>
      <c r="C258" s="1">
        <f>YEAR(Data[[#This Row],[Date]])</f>
        <v>2019</v>
      </c>
      <c r="D258" s="5">
        <v>43763</v>
      </c>
      <c r="E258" s="1" t="s">
        <v>128</v>
      </c>
      <c r="F258" s="1">
        <v>28724</v>
      </c>
      <c r="G258" s="1" t="s">
        <v>2</v>
      </c>
      <c r="H258" s="1" t="s">
        <v>112</v>
      </c>
      <c r="I258" s="1" t="s">
        <v>0</v>
      </c>
      <c r="J258" s="1">
        <v>9</v>
      </c>
      <c r="K258" s="1">
        <f>J258*(IF(I258=ProdFam[[#Headers],[Test]],(VLOOKUP(Data[[#This Row],[Product Family]],ProdFam[],3,FALSE)),(VLOOKUP(Data[[#This Row],[Product Family]],ProdFam[],2,FALSE))))</f>
        <v>90</v>
      </c>
      <c r="L258" s="1">
        <v>55</v>
      </c>
      <c r="M258" s="1">
        <v>9</v>
      </c>
      <c r="N258" s="7">
        <f>IFERROR(Data[[#This Row],[Actual Time]]/Data[[#This Row],[QTY Complete]],"")</f>
        <v>6.1111111111111107</v>
      </c>
      <c r="O258" s="7">
        <f>IF(I258=ProdFam[[#Headers],[Test]],(VLOOKUP(Data[[#This Row],[Product Family]],ProdFam[],3,FALSE)),(VLOOKUP(Data[[#This Row],[Product Family]],ProdFam[],2,FALSE)))</f>
        <v>10</v>
      </c>
    </row>
    <row r="259" spans="2:15" x14ac:dyDescent="0.25">
      <c r="B259" s="1">
        <f>WEEKNUM(Data[[#This Row],[Date]],1)</f>
        <v>43</v>
      </c>
      <c r="C259" s="1">
        <f>YEAR(Data[[#This Row],[Date]])</f>
        <v>2019</v>
      </c>
      <c r="D259" s="5">
        <v>43763</v>
      </c>
      <c r="E259" s="1" t="s">
        <v>128</v>
      </c>
      <c r="F259" s="1">
        <v>28853</v>
      </c>
      <c r="G259" s="1" t="s">
        <v>61</v>
      </c>
      <c r="H259" s="1" t="s">
        <v>112</v>
      </c>
      <c r="I259" s="1" t="s">
        <v>0</v>
      </c>
      <c r="J259" s="1">
        <v>12</v>
      </c>
      <c r="K259" s="1">
        <f>J259*(IF(I259=ProdFam[[#Headers],[Test]],(VLOOKUP(Data[[#This Row],[Product Family]],ProdFam[],3,FALSE)),(VLOOKUP(Data[[#This Row],[Product Family]],ProdFam[],2,FALSE))))</f>
        <v>120</v>
      </c>
      <c r="L259" s="1">
        <v>65</v>
      </c>
      <c r="M259" s="1">
        <v>12</v>
      </c>
      <c r="N259" s="7">
        <f>IFERROR(Data[[#This Row],[Actual Time]]/Data[[#This Row],[QTY Complete]],"")</f>
        <v>5.416666666666667</v>
      </c>
      <c r="O259" s="7">
        <f>IF(I259=ProdFam[[#Headers],[Test]],(VLOOKUP(Data[[#This Row],[Product Family]],ProdFam[],3,FALSE)),(VLOOKUP(Data[[#This Row],[Product Family]],ProdFam[],2,FALSE)))</f>
        <v>10</v>
      </c>
    </row>
    <row r="260" spans="2:15" x14ac:dyDescent="0.25">
      <c r="B260" s="1">
        <f>WEEKNUM(Data[[#This Row],[Date]],1)</f>
        <v>43</v>
      </c>
      <c r="C260" s="1">
        <f>YEAR(Data[[#This Row],[Date]])</f>
        <v>2019</v>
      </c>
      <c r="D260" s="5">
        <v>43763</v>
      </c>
      <c r="E260" s="1" t="s">
        <v>128</v>
      </c>
      <c r="F260" s="1">
        <v>28825</v>
      </c>
      <c r="G260" s="1" t="s">
        <v>62</v>
      </c>
      <c r="H260" s="1" t="s">
        <v>112</v>
      </c>
      <c r="I260" s="1" t="s">
        <v>0</v>
      </c>
      <c r="J260" s="1">
        <v>10</v>
      </c>
      <c r="K260" s="1">
        <f>J260*(IF(I260=ProdFam[[#Headers],[Test]],(VLOOKUP(Data[[#This Row],[Product Family]],ProdFam[],3,FALSE)),(VLOOKUP(Data[[#This Row],[Product Family]],ProdFam[],2,FALSE))))</f>
        <v>100</v>
      </c>
      <c r="L260" s="1">
        <v>33</v>
      </c>
      <c r="M260" s="1">
        <v>10</v>
      </c>
      <c r="N260" s="7">
        <f>IFERROR(Data[[#This Row],[Actual Time]]/Data[[#This Row],[QTY Complete]],"")</f>
        <v>3.3</v>
      </c>
      <c r="O260" s="7">
        <f>IF(I260=ProdFam[[#Headers],[Test]],(VLOOKUP(Data[[#This Row],[Product Family]],ProdFam[],3,FALSE)),(VLOOKUP(Data[[#This Row],[Product Family]],ProdFam[],2,FALSE)))</f>
        <v>10</v>
      </c>
    </row>
    <row r="261" spans="2:15" x14ac:dyDescent="0.25">
      <c r="B261" s="1">
        <f>WEEKNUM(Data[[#This Row],[Date]],1)</f>
        <v>43</v>
      </c>
      <c r="C261" s="1">
        <f>YEAR(Data[[#This Row],[Date]])</f>
        <v>2019</v>
      </c>
      <c r="D261" s="5">
        <v>43763</v>
      </c>
      <c r="E261" s="1" t="s">
        <v>118</v>
      </c>
      <c r="F261" s="1">
        <v>28639</v>
      </c>
      <c r="G261" s="1" t="s">
        <v>15</v>
      </c>
      <c r="H261" s="1" t="s">
        <v>113</v>
      </c>
      <c r="I261" s="1" t="s">
        <v>0</v>
      </c>
      <c r="J261" s="1">
        <v>8</v>
      </c>
      <c r="K261" s="1">
        <f>J261*(IF(I261=ProdFam[[#Headers],[Test]],(VLOOKUP(Data[[#This Row],[Product Family]],ProdFam[],3,FALSE)),(VLOOKUP(Data[[#This Row],[Product Family]],ProdFam[],2,FALSE))))</f>
        <v>376</v>
      </c>
      <c r="L261" s="1">
        <v>100</v>
      </c>
      <c r="M261" s="1">
        <v>8</v>
      </c>
      <c r="N261" s="7">
        <f>IFERROR(Data[[#This Row],[Actual Time]]/Data[[#This Row],[QTY Complete]],"")</f>
        <v>12.5</v>
      </c>
      <c r="O261" s="7">
        <f>IF(I261=ProdFam[[#Headers],[Test]],(VLOOKUP(Data[[#This Row],[Product Family]],ProdFam[],3,FALSE)),(VLOOKUP(Data[[#This Row],[Product Family]],ProdFam[],2,FALSE)))</f>
        <v>47</v>
      </c>
    </row>
    <row r="262" spans="2:15" x14ac:dyDescent="0.25">
      <c r="B262" s="1">
        <f>WEEKNUM(Data[[#This Row],[Date]],1)</f>
        <v>43</v>
      </c>
      <c r="C262" s="1">
        <f>YEAR(Data[[#This Row],[Date]])</f>
        <v>2019</v>
      </c>
      <c r="D262" s="5">
        <v>43763</v>
      </c>
      <c r="E262" s="1" t="s">
        <v>118</v>
      </c>
      <c r="F262" s="1">
        <v>28870</v>
      </c>
      <c r="G262" s="1" t="s">
        <v>41</v>
      </c>
      <c r="H262" s="1" t="s">
        <v>113</v>
      </c>
      <c r="I262" s="1" t="s">
        <v>0</v>
      </c>
      <c r="J262" s="1">
        <v>1</v>
      </c>
      <c r="K262" s="1">
        <f>J262*(IF(I262=ProdFam[[#Headers],[Test]],(VLOOKUP(Data[[#This Row],[Product Family]],ProdFam[],3,FALSE)),(VLOOKUP(Data[[#This Row],[Product Family]],ProdFam[],2,FALSE))))</f>
        <v>47</v>
      </c>
      <c r="L262" s="1">
        <v>60</v>
      </c>
      <c r="M262" s="1">
        <v>1</v>
      </c>
      <c r="N262" s="7">
        <f>IFERROR(Data[[#This Row],[Actual Time]]/Data[[#This Row],[QTY Complete]],"")</f>
        <v>60</v>
      </c>
      <c r="O262" s="7">
        <f>IF(I262=ProdFam[[#Headers],[Test]],(VLOOKUP(Data[[#This Row],[Product Family]],ProdFam[],3,FALSE)),(VLOOKUP(Data[[#This Row],[Product Family]],ProdFam[],2,FALSE)))</f>
        <v>47</v>
      </c>
    </row>
    <row r="263" spans="2:15" x14ac:dyDescent="0.25">
      <c r="B263" s="1">
        <f>WEEKNUM(Data[[#This Row],[Date]],1)</f>
        <v>43</v>
      </c>
      <c r="C263" s="1">
        <f>YEAR(Data[[#This Row],[Date]])</f>
        <v>2019</v>
      </c>
      <c r="D263" s="5">
        <v>43763</v>
      </c>
      <c r="E263" s="1" t="s">
        <v>118</v>
      </c>
      <c r="F263" s="1">
        <v>28728</v>
      </c>
      <c r="G263" s="1" t="s">
        <v>16</v>
      </c>
      <c r="H263" s="1" t="s">
        <v>113</v>
      </c>
      <c r="I263" s="1" t="s">
        <v>0</v>
      </c>
      <c r="J263" s="1">
        <v>2</v>
      </c>
      <c r="K263" s="1">
        <f>J263*(IF(I263=ProdFam[[#Headers],[Test]],(VLOOKUP(Data[[#This Row],[Product Family]],ProdFam[],3,FALSE)),(VLOOKUP(Data[[#This Row],[Product Family]],ProdFam[],2,FALSE))))</f>
        <v>94</v>
      </c>
      <c r="L263" s="1">
        <v>85</v>
      </c>
      <c r="M263" s="1">
        <v>2</v>
      </c>
      <c r="N263" s="7">
        <f>IFERROR(Data[[#This Row],[Actual Time]]/Data[[#This Row],[QTY Complete]],"")</f>
        <v>42.5</v>
      </c>
      <c r="O263" s="7">
        <f>IF(I263=ProdFam[[#Headers],[Test]],(VLOOKUP(Data[[#This Row],[Product Family]],ProdFam[],3,FALSE)),(VLOOKUP(Data[[#This Row],[Product Family]],ProdFam[],2,FALSE)))</f>
        <v>47</v>
      </c>
    </row>
    <row r="264" spans="2:15" x14ac:dyDescent="0.25">
      <c r="B264" s="1">
        <f>WEEKNUM(Data[[#This Row],[Date]],1)</f>
        <v>43</v>
      </c>
      <c r="C264" s="1">
        <f>YEAR(Data[[#This Row],[Date]])</f>
        <v>2019</v>
      </c>
      <c r="D264" s="5">
        <v>43763</v>
      </c>
      <c r="E264" s="1" t="s">
        <v>118</v>
      </c>
      <c r="F264" s="1">
        <v>28811</v>
      </c>
      <c r="G264" s="1" t="s">
        <v>22</v>
      </c>
      <c r="H264" s="1" t="s">
        <v>112</v>
      </c>
      <c r="I264" s="1" t="s">
        <v>0</v>
      </c>
      <c r="J264" s="1">
        <v>1</v>
      </c>
      <c r="K264" s="1">
        <f>J264*(IF(I264=ProdFam[[#Headers],[Test]],(VLOOKUP(Data[[#This Row],[Product Family]],ProdFam[],3,FALSE)),(VLOOKUP(Data[[#This Row],[Product Family]],ProdFam[],2,FALSE))))</f>
        <v>10</v>
      </c>
      <c r="L264" s="1">
        <v>45</v>
      </c>
      <c r="M264" s="1">
        <v>1</v>
      </c>
      <c r="N264" s="7">
        <f>IFERROR(Data[[#This Row],[Actual Time]]/Data[[#This Row],[QTY Complete]],"")</f>
        <v>45</v>
      </c>
      <c r="O264" s="7">
        <f>IF(I264=ProdFam[[#Headers],[Test]],(VLOOKUP(Data[[#This Row],[Product Family]],ProdFam[],3,FALSE)),(VLOOKUP(Data[[#This Row],[Product Family]],ProdFam[],2,FALSE)))</f>
        <v>10</v>
      </c>
    </row>
    <row r="265" spans="2:15" x14ac:dyDescent="0.25">
      <c r="B265" s="1">
        <f>WEEKNUM(Data[[#This Row],[Date]],1)</f>
        <v>43</v>
      </c>
      <c r="C265" s="15">
        <f>YEAR(Data[[#This Row],[Date]])</f>
        <v>2019</v>
      </c>
      <c r="D265" s="5">
        <v>43763</v>
      </c>
      <c r="E265" s="1" t="s">
        <v>118</v>
      </c>
      <c r="F265" s="1">
        <v>28654</v>
      </c>
      <c r="G265" s="1" t="s">
        <v>58</v>
      </c>
      <c r="H265" s="1" t="s">
        <v>112</v>
      </c>
      <c r="I265" s="1" t="s">
        <v>0</v>
      </c>
      <c r="J265" s="1">
        <v>12</v>
      </c>
      <c r="K265" s="1">
        <f>J265*(IF(I265=ProdFam[[#Headers],[Test]],(VLOOKUP(Data[[#This Row],[Product Family]],ProdFam[],3,FALSE)),(VLOOKUP(Data[[#This Row],[Product Family]],ProdFam[],2,FALSE))))</f>
        <v>120</v>
      </c>
      <c r="L265" s="1">
        <v>70</v>
      </c>
      <c r="M265" s="1">
        <v>0</v>
      </c>
      <c r="N265" s="7" t="str">
        <f>IFERROR(Data[[#This Row],[Actual Time]]/Data[[#This Row],[QTY Complete]],"")</f>
        <v/>
      </c>
      <c r="O265" s="7">
        <f>IF(I265=ProdFam[[#Headers],[Test]],(VLOOKUP(Data[[#This Row],[Product Family]],ProdFam[],3,FALSE)),(VLOOKUP(Data[[#This Row],[Product Family]],ProdFam[],2,FALSE)))</f>
        <v>10</v>
      </c>
    </row>
    <row r="266" spans="2:15" x14ac:dyDescent="0.25">
      <c r="B266" s="1">
        <f>WEEKNUM(Data[[#This Row],[Date]],1)</f>
        <v>43</v>
      </c>
      <c r="C266" s="15">
        <f>YEAR(Data[[#This Row],[Date]])</f>
        <v>2019</v>
      </c>
      <c r="D266" s="5">
        <v>43763</v>
      </c>
      <c r="E266" s="1" t="s">
        <v>122</v>
      </c>
      <c r="F266" s="1">
        <v>28699</v>
      </c>
      <c r="G266" s="1" t="s">
        <v>28</v>
      </c>
      <c r="H266" s="1" t="s">
        <v>113</v>
      </c>
      <c r="I266" s="1" t="s">
        <v>0</v>
      </c>
      <c r="J266" s="1">
        <v>8</v>
      </c>
      <c r="K266" s="1">
        <f>J266*(IF(I266=ProdFam[[#Headers],[Test]],(VLOOKUP(Data[[#This Row],[Product Family]],ProdFam[],3,FALSE)),(VLOOKUP(Data[[#This Row],[Product Family]],ProdFam[],2,FALSE))))</f>
        <v>376</v>
      </c>
      <c r="L266" s="1">
        <v>150</v>
      </c>
      <c r="M266" s="1">
        <v>8</v>
      </c>
      <c r="N266" s="7">
        <f>IFERROR(Data[[#This Row],[Actual Time]]/Data[[#This Row],[QTY Complete]],"")</f>
        <v>18.75</v>
      </c>
      <c r="O266" s="7">
        <f>IF(I266=ProdFam[[#Headers],[Test]],(VLOOKUP(Data[[#This Row],[Product Family]],ProdFam[],3,FALSE)),(VLOOKUP(Data[[#This Row],[Product Family]],ProdFam[],2,FALSE)))</f>
        <v>47</v>
      </c>
    </row>
    <row r="267" spans="2:15" x14ac:dyDescent="0.25">
      <c r="B267" s="1">
        <f>WEEKNUM(Data[[#This Row],[Date]],1)</f>
        <v>43</v>
      </c>
      <c r="C267" s="15">
        <f>YEAR(Data[[#This Row],[Date]])</f>
        <v>2019</v>
      </c>
      <c r="D267" s="5">
        <v>43763</v>
      </c>
      <c r="E267" s="1" t="s">
        <v>122</v>
      </c>
      <c r="F267" s="1">
        <v>28717</v>
      </c>
      <c r="G267" s="1" t="s">
        <v>60</v>
      </c>
      <c r="H267" s="1" t="s">
        <v>113</v>
      </c>
      <c r="I267" s="1" t="s">
        <v>0</v>
      </c>
      <c r="J267" s="1">
        <v>5</v>
      </c>
      <c r="K267" s="1">
        <f>J267*(IF(I267=ProdFam[[#Headers],[Test]],(VLOOKUP(Data[[#This Row],[Product Family]],ProdFam[],3,FALSE)),(VLOOKUP(Data[[#This Row],[Product Family]],ProdFam[],2,FALSE))))</f>
        <v>235</v>
      </c>
      <c r="L267" s="1">
        <v>225</v>
      </c>
      <c r="M267" s="1">
        <v>5</v>
      </c>
      <c r="N267" s="7">
        <f>IFERROR(Data[[#This Row],[Actual Time]]/Data[[#This Row],[QTY Complete]],"")</f>
        <v>45</v>
      </c>
      <c r="O267" s="7">
        <f>IF(I267=ProdFam[[#Headers],[Test]],(VLOOKUP(Data[[#This Row],[Product Family]],ProdFam[],3,FALSE)),(VLOOKUP(Data[[#This Row],[Product Family]],ProdFam[],2,FALSE)))</f>
        <v>47</v>
      </c>
    </row>
    <row r="268" spans="2:15" x14ac:dyDescent="0.25">
      <c r="B268" s="1">
        <f>WEEKNUM(Data[[#This Row],[Date]],1)</f>
        <v>43</v>
      </c>
      <c r="C268" s="15">
        <f>YEAR(Data[[#This Row],[Date]])</f>
        <v>2019</v>
      </c>
      <c r="D268" s="5">
        <v>43763</v>
      </c>
      <c r="E268" s="1" t="s">
        <v>122</v>
      </c>
      <c r="F268" s="1">
        <v>28720</v>
      </c>
      <c r="G268" s="1" t="s">
        <v>63</v>
      </c>
      <c r="H268" s="1" t="s">
        <v>115</v>
      </c>
      <c r="I268" s="1" t="s">
        <v>0</v>
      </c>
      <c r="J268" s="1">
        <v>13</v>
      </c>
      <c r="K268" s="1">
        <f>J268*(IF(I268=ProdFam[[#Headers],[Test]],(VLOOKUP(Data[[#This Row],[Product Family]],ProdFam[],3,FALSE)),(VLOOKUP(Data[[#This Row],[Product Family]],ProdFam[],2,FALSE))))</f>
        <v>104</v>
      </c>
      <c r="L268" s="1">
        <v>165</v>
      </c>
      <c r="M268" s="1">
        <v>13</v>
      </c>
      <c r="N268" s="7">
        <f>IFERROR(Data[[#This Row],[Actual Time]]/Data[[#This Row],[QTY Complete]],"")</f>
        <v>12.692307692307692</v>
      </c>
      <c r="O268" s="7">
        <f>IF(I268=ProdFam[[#Headers],[Test]],(VLOOKUP(Data[[#This Row],[Product Family]],ProdFam[],3,FALSE)),(VLOOKUP(Data[[#This Row],[Product Family]],ProdFam[],2,FALSE)))</f>
        <v>8</v>
      </c>
    </row>
    <row r="269" spans="2:15" x14ac:dyDescent="0.25">
      <c r="B269" s="1">
        <f>WEEKNUM(Data[[#This Row],[Date]],1)</f>
        <v>43</v>
      </c>
      <c r="C269" s="15">
        <f>YEAR(Data[[#This Row],[Date]])</f>
        <v>2019</v>
      </c>
      <c r="D269" s="5">
        <v>43763</v>
      </c>
      <c r="E269" s="1" t="s">
        <v>122</v>
      </c>
      <c r="F269" s="1">
        <v>28706</v>
      </c>
      <c r="G269" s="1" t="s">
        <v>39</v>
      </c>
      <c r="H269" s="1" t="s">
        <v>112</v>
      </c>
      <c r="I269" s="1" t="s">
        <v>0</v>
      </c>
      <c r="J269" s="1">
        <v>30</v>
      </c>
      <c r="K269" s="1">
        <f>J269*(IF(I269=ProdFam[[#Headers],[Test]],(VLOOKUP(Data[[#This Row],[Product Family]],ProdFam[],3,FALSE)),(VLOOKUP(Data[[#This Row],[Product Family]],ProdFam[],2,FALSE))))</f>
        <v>300</v>
      </c>
      <c r="L269" s="1">
        <v>15</v>
      </c>
      <c r="M269" s="1">
        <v>0</v>
      </c>
      <c r="N269" s="7" t="str">
        <f>IFERROR(Data[[#This Row],[Actual Time]]/Data[[#This Row],[QTY Complete]],"")</f>
        <v/>
      </c>
      <c r="O269" s="7">
        <f>IF(I269=ProdFam[[#Headers],[Test]],(VLOOKUP(Data[[#This Row],[Product Family]],ProdFam[],3,FALSE)),(VLOOKUP(Data[[#This Row],[Product Family]],ProdFam[],2,FALSE)))</f>
        <v>10</v>
      </c>
    </row>
    <row r="270" spans="2:15" x14ac:dyDescent="0.25">
      <c r="B270" s="1">
        <f>WEEKNUM(Data[[#This Row],[Date]],1)</f>
        <v>43</v>
      </c>
      <c r="C270" s="15">
        <f>YEAR(Data[[#This Row],[Date]])</f>
        <v>2019</v>
      </c>
      <c r="D270" s="5">
        <v>43763</v>
      </c>
      <c r="E270" s="1" t="s">
        <v>117</v>
      </c>
      <c r="F270" s="1">
        <v>28653</v>
      </c>
      <c r="G270" s="1" t="s">
        <v>51</v>
      </c>
      <c r="H270" s="1" t="s">
        <v>113</v>
      </c>
      <c r="I270" s="1" t="s">
        <v>1</v>
      </c>
      <c r="J270" s="1">
        <v>10</v>
      </c>
      <c r="K270" s="1">
        <f>J270*(IF(I270=ProdFam[[#Headers],[Test]],(VLOOKUP(Data[[#This Row],[Product Family]],ProdFam[],3,FALSE)),(VLOOKUP(Data[[#This Row],[Product Family]],ProdFam[],2,FALSE))))</f>
        <v>320</v>
      </c>
      <c r="L270" s="1">
        <v>195</v>
      </c>
      <c r="M270" s="1">
        <v>8</v>
      </c>
      <c r="N270" s="7">
        <f>IFERROR(Data[[#This Row],[Actual Time]]/Data[[#This Row],[QTY Complete]],"")</f>
        <v>24.375</v>
      </c>
      <c r="O270" s="7">
        <f>IF(I270=ProdFam[[#Headers],[Test]],(VLOOKUP(Data[[#This Row],[Product Family]],ProdFam[],3,FALSE)),(VLOOKUP(Data[[#This Row],[Product Family]],ProdFam[],2,FALSE)))</f>
        <v>32</v>
      </c>
    </row>
    <row r="271" spans="2:15" x14ac:dyDescent="0.25">
      <c r="B271" s="1">
        <f>WEEKNUM(Data[[#This Row],[Date]],1)</f>
        <v>43</v>
      </c>
      <c r="C271" s="15">
        <f>YEAR(Data[[#This Row],[Date]])</f>
        <v>2019</v>
      </c>
      <c r="D271" s="5">
        <v>43763</v>
      </c>
      <c r="E271" s="1" t="s">
        <v>117</v>
      </c>
      <c r="F271" s="1">
        <v>28777</v>
      </c>
      <c r="G271" s="1" t="s">
        <v>51</v>
      </c>
      <c r="H271" s="1" t="s">
        <v>113</v>
      </c>
      <c r="I271" s="1" t="s">
        <v>1</v>
      </c>
      <c r="J271" s="1">
        <v>6</v>
      </c>
      <c r="K271" s="1">
        <f>J271*(IF(I271=ProdFam[[#Headers],[Test]],(VLOOKUP(Data[[#This Row],[Product Family]],ProdFam[],3,FALSE)),(VLOOKUP(Data[[#This Row],[Product Family]],ProdFam[],2,FALSE))))</f>
        <v>192</v>
      </c>
      <c r="L271" s="1">
        <v>105</v>
      </c>
      <c r="M271" s="1">
        <v>6</v>
      </c>
      <c r="N271" s="7">
        <f>IFERROR(Data[[#This Row],[Actual Time]]/Data[[#This Row],[QTY Complete]],"")</f>
        <v>17.5</v>
      </c>
      <c r="O271" s="7">
        <f>IF(I271=ProdFam[[#Headers],[Test]],(VLOOKUP(Data[[#This Row],[Product Family]],ProdFam[],3,FALSE)),(VLOOKUP(Data[[#This Row],[Product Family]],ProdFam[],2,FALSE)))</f>
        <v>32</v>
      </c>
    </row>
    <row r="272" spans="2:15" x14ac:dyDescent="0.25">
      <c r="B272" s="1">
        <f>WEEKNUM(Data[[#This Row],[Date]],1)</f>
        <v>43</v>
      </c>
      <c r="C272" s="15">
        <f>YEAR(Data[[#This Row],[Date]])</f>
        <v>2019</v>
      </c>
      <c r="D272" s="5">
        <v>43763</v>
      </c>
      <c r="E272" s="1" t="s">
        <v>111</v>
      </c>
      <c r="F272" s="1">
        <v>28870</v>
      </c>
      <c r="G272" s="1" t="s">
        <v>41</v>
      </c>
      <c r="H272" s="1" t="s">
        <v>113</v>
      </c>
      <c r="I272" s="1" t="s">
        <v>1</v>
      </c>
      <c r="J272" s="1">
        <v>1</v>
      </c>
      <c r="K272" s="1">
        <f>J272*(IF(I272=ProdFam[[#Headers],[Test]],(VLOOKUP(Data[[#This Row],[Product Family]],ProdFam[],3,FALSE)),(VLOOKUP(Data[[#This Row],[Product Family]],ProdFam[],2,FALSE))))</f>
        <v>32</v>
      </c>
      <c r="L272" s="1">
        <v>32</v>
      </c>
      <c r="M272" s="1">
        <v>1</v>
      </c>
      <c r="N272" s="7">
        <f>IFERROR(Data[[#This Row],[Actual Time]]/Data[[#This Row],[QTY Complete]],"")</f>
        <v>32</v>
      </c>
      <c r="O272" s="7">
        <f>IF(I272=ProdFam[[#Headers],[Test]],(VLOOKUP(Data[[#This Row],[Product Family]],ProdFam[],3,FALSE)),(VLOOKUP(Data[[#This Row],[Product Family]],ProdFam[],2,FALSE)))</f>
        <v>32</v>
      </c>
    </row>
    <row r="273" spans="2:15" x14ac:dyDescent="0.25">
      <c r="B273" s="1">
        <f>WEEKNUM(Data[[#This Row],[Date]],1)</f>
        <v>43</v>
      </c>
      <c r="C273" s="15">
        <f>YEAR(Data[[#This Row],[Date]])</f>
        <v>2019</v>
      </c>
      <c r="D273" s="5">
        <v>43763</v>
      </c>
      <c r="E273" s="1" t="s">
        <v>111</v>
      </c>
      <c r="F273" s="1">
        <v>28721</v>
      </c>
      <c r="G273" s="1" t="s">
        <v>44</v>
      </c>
      <c r="H273" s="1" t="s">
        <v>113</v>
      </c>
      <c r="I273" s="1" t="s">
        <v>1</v>
      </c>
      <c r="J273" s="1">
        <v>5</v>
      </c>
      <c r="K273" s="1">
        <f>J273*(IF(I273=ProdFam[[#Headers],[Test]],(VLOOKUP(Data[[#This Row],[Product Family]],ProdFam[],3,FALSE)),(VLOOKUP(Data[[#This Row],[Product Family]],ProdFam[],2,FALSE))))</f>
        <v>160</v>
      </c>
      <c r="L273" s="1">
        <v>260</v>
      </c>
      <c r="M273" s="1">
        <v>4</v>
      </c>
      <c r="N273" s="7">
        <f>IFERROR(Data[[#This Row],[Actual Time]]/Data[[#This Row],[QTY Complete]],"")</f>
        <v>65</v>
      </c>
      <c r="O273" s="7">
        <f>IF(I273=ProdFam[[#Headers],[Test]],(VLOOKUP(Data[[#This Row],[Product Family]],ProdFam[],3,FALSE)),(VLOOKUP(Data[[#This Row],[Product Family]],ProdFam[],2,FALSE)))</f>
        <v>32</v>
      </c>
    </row>
    <row r="274" spans="2:15" x14ac:dyDescent="0.25">
      <c r="B274" s="1">
        <f>WEEKNUM(Data[[#This Row],[Date]],1)</f>
        <v>43</v>
      </c>
      <c r="C274" s="15">
        <f>YEAR(Data[[#This Row],[Date]])</f>
        <v>2019</v>
      </c>
      <c r="D274" s="5">
        <v>43763</v>
      </c>
      <c r="E274" s="1" t="s">
        <v>111</v>
      </c>
      <c r="F274" s="1">
        <v>28717</v>
      </c>
      <c r="G274" s="1" t="s">
        <v>60</v>
      </c>
      <c r="H274" s="1" t="s">
        <v>113</v>
      </c>
      <c r="I274" s="1" t="s">
        <v>1</v>
      </c>
      <c r="J274" s="1">
        <v>5</v>
      </c>
      <c r="K274" s="1">
        <f>J274*(IF(I274=ProdFam[[#Headers],[Test]],(VLOOKUP(Data[[#This Row],[Product Family]],ProdFam[],3,FALSE)),(VLOOKUP(Data[[#This Row],[Product Family]],ProdFam[],2,FALSE))))</f>
        <v>160</v>
      </c>
      <c r="L274" s="1">
        <v>60</v>
      </c>
      <c r="M274" s="1">
        <v>1</v>
      </c>
      <c r="N274" s="7">
        <f>IFERROR(Data[[#This Row],[Actual Time]]/Data[[#This Row],[QTY Complete]],"")</f>
        <v>60</v>
      </c>
      <c r="O274" s="7">
        <f>IF(I274=ProdFam[[#Headers],[Test]],(VLOOKUP(Data[[#This Row],[Product Family]],ProdFam[],3,FALSE)),(VLOOKUP(Data[[#This Row],[Product Family]],ProdFam[],2,FALSE)))</f>
        <v>32</v>
      </c>
    </row>
    <row r="275" spans="2:15" x14ac:dyDescent="0.25">
      <c r="B275" s="1">
        <f>WEEKNUM(Data[[#This Row],[Date]],1)</f>
        <v>43</v>
      </c>
      <c r="C275" s="15">
        <f>YEAR(Data[[#This Row],[Date]])</f>
        <v>2019</v>
      </c>
      <c r="D275" s="5">
        <v>43763</v>
      </c>
      <c r="E275" s="1" t="s">
        <v>119</v>
      </c>
      <c r="F275" s="1">
        <v>28574</v>
      </c>
      <c r="G275" s="1" t="s">
        <v>29</v>
      </c>
      <c r="H275" s="1" t="s">
        <v>113</v>
      </c>
      <c r="I275" s="1" t="s">
        <v>1</v>
      </c>
      <c r="J275" s="1">
        <v>8</v>
      </c>
      <c r="K275" s="1">
        <f>J275*(IF(I275=ProdFam[[#Headers],[Test]],(VLOOKUP(Data[[#This Row],[Product Family]],ProdFam[],3,FALSE)),(VLOOKUP(Data[[#This Row],[Product Family]],ProdFam[],2,FALSE))))</f>
        <v>256</v>
      </c>
      <c r="L275" s="1">
        <v>165</v>
      </c>
      <c r="M275" s="1">
        <v>8</v>
      </c>
      <c r="N275" s="7">
        <f>IFERROR(Data[[#This Row],[Actual Time]]/Data[[#This Row],[QTY Complete]],"")</f>
        <v>20.625</v>
      </c>
      <c r="O275" s="7">
        <f>IF(I275=ProdFam[[#Headers],[Test]],(VLOOKUP(Data[[#This Row],[Product Family]],ProdFam[],3,FALSE)),(VLOOKUP(Data[[#This Row],[Product Family]],ProdFam[],2,FALSE)))</f>
        <v>32</v>
      </c>
    </row>
    <row r="276" spans="2:15" x14ac:dyDescent="0.25">
      <c r="B276" s="1">
        <f>WEEKNUM(Data[[#This Row],[Date]],1)</f>
        <v>43</v>
      </c>
      <c r="C276" s="15">
        <f>YEAR(Data[[#This Row],[Date]])</f>
        <v>2019</v>
      </c>
      <c r="D276" s="5">
        <v>43763</v>
      </c>
      <c r="E276" s="1" t="s">
        <v>119</v>
      </c>
      <c r="F276" s="1">
        <v>28699</v>
      </c>
      <c r="G276" s="1" t="s">
        <v>28</v>
      </c>
      <c r="H276" s="1" t="s">
        <v>113</v>
      </c>
      <c r="I276" s="1" t="s">
        <v>1</v>
      </c>
      <c r="J276" s="1">
        <v>8</v>
      </c>
      <c r="K276" s="1">
        <f>J276*(IF(I276=ProdFam[[#Headers],[Test]],(VLOOKUP(Data[[#This Row],[Product Family]],ProdFam[],3,FALSE)),(VLOOKUP(Data[[#This Row],[Product Family]],ProdFam[],2,FALSE))))</f>
        <v>256</v>
      </c>
      <c r="L276" s="1">
        <v>335</v>
      </c>
      <c r="M276" s="1">
        <v>8</v>
      </c>
      <c r="N276" s="7">
        <f>IFERROR(Data[[#This Row],[Actual Time]]/Data[[#This Row],[QTY Complete]],"")</f>
        <v>41.875</v>
      </c>
      <c r="O276" s="7">
        <f>IF(I276=ProdFam[[#Headers],[Test]],(VLOOKUP(Data[[#This Row],[Product Family]],ProdFam[],3,FALSE)),(VLOOKUP(Data[[#This Row],[Product Family]],ProdFam[],2,FALSE)))</f>
        <v>32</v>
      </c>
    </row>
    <row r="277" spans="2:15" x14ac:dyDescent="0.25">
      <c r="B277" s="1">
        <f>WEEKNUM(Data[[#This Row],[Date]],1)</f>
        <v>44</v>
      </c>
      <c r="C277" s="15">
        <f>YEAR(Data[[#This Row],[Date]])</f>
        <v>2019</v>
      </c>
      <c r="D277" s="5">
        <v>43767</v>
      </c>
      <c r="E277" s="1" t="s">
        <v>117</v>
      </c>
      <c r="F277" s="1">
        <v>28728</v>
      </c>
      <c r="G277" s="1" t="s">
        <v>16</v>
      </c>
      <c r="H277" s="1" t="s">
        <v>113</v>
      </c>
      <c r="I277" s="1" t="s">
        <v>1</v>
      </c>
      <c r="J277" s="1">
        <v>2</v>
      </c>
      <c r="K277" s="1">
        <f>J277*(IF(I277=ProdFam[[#Headers],[Test]],(VLOOKUP(Data[[#This Row],[Product Family]],ProdFam[],3,FALSE)),(VLOOKUP(Data[[#This Row],[Product Family]],ProdFam[],2,FALSE))))</f>
        <v>64</v>
      </c>
      <c r="L277" s="1">
        <v>47</v>
      </c>
      <c r="M277" s="1">
        <v>2</v>
      </c>
      <c r="N277" s="7">
        <f>IFERROR(Data[[#This Row],[Actual Time]]/Data[[#This Row],[QTY Complete]],"")</f>
        <v>23.5</v>
      </c>
      <c r="O277" s="7">
        <f>IF(I277=ProdFam[[#Headers],[Test]],(VLOOKUP(Data[[#This Row],[Product Family]],ProdFam[],3,FALSE)),(VLOOKUP(Data[[#This Row],[Product Family]],ProdFam[],2,FALSE)))</f>
        <v>32</v>
      </c>
    </row>
    <row r="278" spans="2:15" x14ac:dyDescent="0.25">
      <c r="B278" s="1">
        <f>WEEKNUM(Data[[#This Row],[Date]],1)</f>
        <v>44</v>
      </c>
      <c r="C278" s="15">
        <f>YEAR(Data[[#This Row],[Date]])</f>
        <v>2019</v>
      </c>
      <c r="D278" s="5">
        <v>43767</v>
      </c>
      <c r="E278" s="1" t="s">
        <v>117</v>
      </c>
      <c r="F278" s="1">
        <v>28639</v>
      </c>
      <c r="G278" s="1" t="s">
        <v>15</v>
      </c>
      <c r="H278" s="1" t="s">
        <v>113</v>
      </c>
      <c r="I278" s="1" t="s">
        <v>1</v>
      </c>
      <c r="J278" s="1">
        <v>8</v>
      </c>
      <c r="K278" s="1">
        <f>J278*(IF(I278=ProdFam[[#Headers],[Test]],(VLOOKUP(Data[[#This Row],[Product Family]],ProdFam[],3,FALSE)),(VLOOKUP(Data[[#This Row],[Product Family]],ProdFam[],2,FALSE))))</f>
        <v>256</v>
      </c>
      <c r="L278" s="1">
        <v>170</v>
      </c>
      <c r="M278" s="1">
        <v>8</v>
      </c>
      <c r="N278" s="7">
        <f>IFERROR(Data[[#This Row],[Actual Time]]/Data[[#This Row],[QTY Complete]],"")</f>
        <v>21.25</v>
      </c>
      <c r="O278" s="7">
        <f>IF(I278=ProdFam[[#Headers],[Test]],(VLOOKUP(Data[[#This Row],[Product Family]],ProdFam[],3,FALSE)),(VLOOKUP(Data[[#This Row],[Product Family]],ProdFam[],2,FALSE)))</f>
        <v>32</v>
      </c>
    </row>
    <row r="279" spans="2:15" x14ac:dyDescent="0.25">
      <c r="B279" s="1">
        <f>WEEKNUM(Data[[#This Row],[Date]],1)</f>
        <v>44</v>
      </c>
      <c r="C279" s="15">
        <f>YEAR(Data[[#This Row],[Date]])</f>
        <v>2019</v>
      </c>
      <c r="D279" s="5">
        <v>43767</v>
      </c>
      <c r="E279" s="1" t="s">
        <v>111</v>
      </c>
      <c r="F279" s="1">
        <v>28853</v>
      </c>
      <c r="G279" s="1" t="s">
        <v>61</v>
      </c>
      <c r="H279" s="1" t="s">
        <v>112</v>
      </c>
      <c r="I279" s="1" t="s">
        <v>1</v>
      </c>
      <c r="J279" s="1">
        <v>12</v>
      </c>
      <c r="K279" s="1">
        <f>J279*(IF(I279=ProdFam[[#Headers],[Test]],(VLOOKUP(Data[[#This Row],[Product Family]],ProdFam[],3,FALSE)),(VLOOKUP(Data[[#This Row],[Product Family]],ProdFam[],2,FALSE))))</f>
        <v>120</v>
      </c>
      <c r="L279" s="1">
        <v>120</v>
      </c>
      <c r="M279" s="1">
        <v>11</v>
      </c>
      <c r="N279" s="7">
        <f>IFERROR(Data[[#This Row],[Actual Time]]/Data[[#This Row],[QTY Complete]],"")</f>
        <v>10.909090909090908</v>
      </c>
      <c r="O279" s="7">
        <f>IF(I279=ProdFam[[#Headers],[Test]],(VLOOKUP(Data[[#This Row],[Product Family]],ProdFam[],3,FALSE)),(VLOOKUP(Data[[#This Row],[Product Family]],ProdFam[],2,FALSE)))</f>
        <v>10</v>
      </c>
    </row>
    <row r="280" spans="2:15" x14ac:dyDescent="0.25">
      <c r="B280" s="1">
        <f>WEEKNUM(Data[[#This Row],[Date]],1)</f>
        <v>44</v>
      </c>
      <c r="C280" s="15">
        <f>YEAR(Data[[#This Row],[Date]])</f>
        <v>2019</v>
      </c>
      <c r="D280" s="5">
        <v>43767</v>
      </c>
      <c r="E280" s="1" t="s">
        <v>111</v>
      </c>
      <c r="F280" s="1">
        <v>28654</v>
      </c>
      <c r="G280" s="1" t="s">
        <v>58</v>
      </c>
      <c r="H280" s="1" t="s">
        <v>112</v>
      </c>
      <c r="I280" s="1" t="s">
        <v>1</v>
      </c>
      <c r="J280" s="1">
        <v>12</v>
      </c>
      <c r="K280" s="1">
        <f>J280*(IF(I280=ProdFam[[#Headers],[Test]],(VLOOKUP(Data[[#This Row],[Product Family]],ProdFam[],3,FALSE)),(VLOOKUP(Data[[#This Row],[Product Family]],ProdFam[],2,FALSE))))</f>
        <v>120</v>
      </c>
      <c r="L280" s="1">
        <v>90</v>
      </c>
      <c r="M280" s="1">
        <v>12</v>
      </c>
      <c r="N280" s="7">
        <f>IFERROR(Data[[#This Row],[Actual Time]]/Data[[#This Row],[QTY Complete]],"")</f>
        <v>7.5</v>
      </c>
      <c r="O280" s="7">
        <f>IF(I280=ProdFam[[#Headers],[Test]],(VLOOKUP(Data[[#This Row],[Product Family]],ProdFam[],3,FALSE)),(VLOOKUP(Data[[#This Row],[Product Family]],ProdFam[],2,FALSE)))</f>
        <v>10</v>
      </c>
    </row>
    <row r="281" spans="2:15" x14ac:dyDescent="0.25">
      <c r="B281" s="1">
        <f>WEEKNUM(Data[[#This Row],[Date]],1)</f>
        <v>44</v>
      </c>
      <c r="C281" s="15">
        <f>YEAR(Data[[#This Row],[Date]])</f>
        <v>2019</v>
      </c>
      <c r="D281" s="5">
        <v>43767</v>
      </c>
      <c r="E281" s="1" t="s">
        <v>111</v>
      </c>
      <c r="F281" s="1">
        <v>28718</v>
      </c>
      <c r="G281" s="1" t="s">
        <v>68</v>
      </c>
      <c r="H281" s="1" t="s">
        <v>112</v>
      </c>
      <c r="I281" s="1" t="s">
        <v>1</v>
      </c>
      <c r="J281" s="1">
        <v>6</v>
      </c>
      <c r="K281" s="1">
        <f>J281*(IF(I281=ProdFam[[#Headers],[Test]],(VLOOKUP(Data[[#This Row],[Product Family]],ProdFam[],3,FALSE)),(VLOOKUP(Data[[#This Row],[Product Family]],ProdFam[],2,FALSE))))</f>
        <v>60</v>
      </c>
      <c r="L281" s="1">
        <v>30</v>
      </c>
      <c r="M281" s="1">
        <v>6</v>
      </c>
      <c r="N281" s="7">
        <f>IFERROR(Data[[#This Row],[Actual Time]]/Data[[#This Row],[QTY Complete]],"")</f>
        <v>5</v>
      </c>
      <c r="O281" s="7">
        <f>IF(I281=ProdFam[[#Headers],[Test]],(VLOOKUP(Data[[#This Row],[Product Family]],ProdFam[],3,FALSE)),(VLOOKUP(Data[[#This Row],[Product Family]],ProdFam[],2,FALSE)))</f>
        <v>10</v>
      </c>
    </row>
    <row r="282" spans="2:15" x14ac:dyDescent="0.25">
      <c r="B282" s="1">
        <f>WEEKNUM(Data[[#This Row],[Date]],1)</f>
        <v>44</v>
      </c>
      <c r="C282" s="15">
        <f>YEAR(Data[[#This Row],[Date]])</f>
        <v>2019</v>
      </c>
      <c r="D282" s="5">
        <v>43767</v>
      </c>
      <c r="E282" s="1" t="s">
        <v>118</v>
      </c>
      <c r="F282" s="1">
        <v>28878</v>
      </c>
      <c r="G282" s="1" t="s">
        <v>69</v>
      </c>
      <c r="H282" s="1" t="s">
        <v>129</v>
      </c>
      <c r="I282" s="1" t="s">
        <v>0</v>
      </c>
      <c r="J282" s="1">
        <v>8</v>
      </c>
      <c r="K282" s="1">
        <f>J282*(IF(I282=ProdFam[[#Headers],[Test]],(VLOOKUP(Data[[#This Row],[Product Family]],ProdFam[],3,FALSE)),(VLOOKUP(Data[[#This Row],[Product Family]],ProdFam[],2,FALSE))))</f>
        <v>144</v>
      </c>
      <c r="L282" s="1">
        <v>340</v>
      </c>
      <c r="M282" s="1">
        <v>8</v>
      </c>
      <c r="N282" s="7">
        <f>IFERROR(Data[[#This Row],[Actual Time]]/Data[[#This Row],[QTY Complete]],"")</f>
        <v>42.5</v>
      </c>
      <c r="O282" s="7">
        <f>IF(I282=ProdFam[[#Headers],[Test]],(VLOOKUP(Data[[#This Row],[Product Family]],ProdFam[],3,FALSE)),(VLOOKUP(Data[[#This Row],[Product Family]],ProdFam[],2,FALSE)))</f>
        <v>18</v>
      </c>
    </row>
    <row r="283" spans="2:15" x14ac:dyDescent="0.25">
      <c r="B283" s="1">
        <f>WEEKNUM(Data[[#This Row],[Date]],1)</f>
        <v>44</v>
      </c>
      <c r="C283" s="15">
        <f>YEAR(Data[[#This Row],[Date]])</f>
        <v>2019</v>
      </c>
      <c r="D283" s="5">
        <v>43767</v>
      </c>
      <c r="E283" s="1" t="s">
        <v>118</v>
      </c>
      <c r="F283" s="1">
        <v>28810</v>
      </c>
      <c r="G283" s="1" t="s">
        <v>70</v>
      </c>
      <c r="H283" s="1" t="s">
        <v>115</v>
      </c>
      <c r="I283" s="1" t="s">
        <v>0</v>
      </c>
      <c r="J283" s="1">
        <v>5</v>
      </c>
      <c r="K283" s="1">
        <f>J283*(IF(I283=ProdFam[[#Headers],[Test]],(VLOOKUP(Data[[#This Row],[Product Family]],ProdFam[],3,FALSE)),(VLOOKUP(Data[[#This Row],[Product Family]],ProdFam[],2,FALSE))))</f>
        <v>40</v>
      </c>
      <c r="L283" s="1">
        <v>35</v>
      </c>
      <c r="M283" s="1">
        <v>5</v>
      </c>
      <c r="N283" s="7">
        <f>IFERROR(Data[[#This Row],[Actual Time]]/Data[[#This Row],[QTY Complete]],"")</f>
        <v>7</v>
      </c>
      <c r="O283" s="7">
        <f>IF(I283=ProdFam[[#Headers],[Test]],(VLOOKUP(Data[[#This Row],[Product Family]],ProdFam[],3,FALSE)),(VLOOKUP(Data[[#This Row],[Product Family]],ProdFam[],2,FALSE)))</f>
        <v>8</v>
      </c>
    </row>
    <row r="284" spans="2:15" x14ac:dyDescent="0.25">
      <c r="B284" s="1">
        <f>WEEKNUM(Data[[#This Row],[Date]],1)</f>
        <v>44</v>
      </c>
      <c r="C284" s="15">
        <f>YEAR(Data[[#This Row],[Date]])</f>
        <v>2019</v>
      </c>
      <c r="D284" s="5">
        <v>43767</v>
      </c>
      <c r="E284" s="1" t="s">
        <v>118</v>
      </c>
      <c r="F284" s="1">
        <v>28809</v>
      </c>
      <c r="G284" s="1" t="s">
        <v>58</v>
      </c>
      <c r="H284" s="1" t="s">
        <v>112</v>
      </c>
      <c r="I284" s="1" t="s">
        <v>0</v>
      </c>
      <c r="J284" s="1">
        <v>12</v>
      </c>
      <c r="K284" s="1">
        <f>J284*(IF(I284=ProdFam[[#Headers],[Test]],(VLOOKUP(Data[[#This Row],[Product Family]],ProdFam[],3,FALSE)),(VLOOKUP(Data[[#This Row],[Product Family]],ProdFam[],2,FALSE))))</f>
        <v>120</v>
      </c>
      <c r="L284" s="1">
        <v>60</v>
      </c>
      <c r="M284" s="1">
        <v>0</v>
      </c>
      <c r="N284" s="7" t="str">
        <f>IFERROR(Data[[#This Row],[Actual Time]]/Data[[#This Row],[QTY Complete]],"")</f>
        <v/>
      </c>
      <c r="O284" s="7">
        <f>IF(I284=ProdFam[[#Headers],[Test]],(VLOOKUP(Data[[#This Row],[Product Family]],ProdFam[],3,FALSE)),(VLOOKUP(Data[[#This Row],[Product Family]],ProdFam[],2,FALSE)))</f>
        <v>10</v>
      </c>
    </row>
    <row r="285" spans="2:15" x14ac:dyDescent="0.25">
      <c r="B285" s="1">
        <f>WEEKNUM(Data[[#This Row],[Date]],1)</f>
        <v>44</v>
      </c>
      <c r="C285" s="15">
        <f>YEAR(Data[[#This Row],[Date]])</f>
        <v>2019</v>
      </c>
      <c r="D285" s="5">
        <v>43767</v>
      </c>
      <c r="E285" s="1" t="s">
        <v>122</v>
      </c>
      <c r="F285" s="1">
        <v>28727</v>
      </c>
      <c r="G285" s="1" t="s">
        <v>21</v>
      </c>
      <c r="H285" s="1" t="s">
        <v>123</v>
      </c>
      <c r="I285" s="1" t="s">
        <v>0</v>
      </c>
      <c r="J285" s="1">
        <v>10</v>
      </c>
      <c r="K285" s="1">
        <f>J285*(IF(I285=ProdFam[[#Headers],[Test]],(VLOOKUP(Data[[#This Row],[Product Family]],ProdFam[],3,FALSE)),(VLOOKUP(Data[[#This Row],[Product Family]],ProdFam[],2,FALSE))))</f>
        <v>900</v>
      </c>
      <c r="L285" s="1">
        <v>450</v>
      </c>
      <c r="M285" s="1">
        <v>0</v>
      </c>
      <c r="N285" s="7" t="str">
        <f>IFERROR(Data[[#This Row],[Actual Time]]/Data[[#This Row],[QTY Complete]],"")</f>
        <v/>
      </c>
      <c r="O285" s="7">
        <f>IF(I285=ProdFam[[#Headers],[Test]],(VLOOKUP(Data[[#This Row],[Product Family]],ProdFam[],3,FALSE)),(VLOOKUP(Data[[#This Row],[Product Family]],ProdFam[],2,FALSE)))</f>
        <v>90</v>
      </c>
    </row>
    <row r="286" spans="2:15" x14ac:dyDescent="0.25">
      <c r="B286" s="1">
        <f>WEEKNUM(Data[[#This Row],[Date]],1)</f>
        <v>44</v>
      </c>
      <c r="C286" s="15">
        <f>YEAR(Data[[#This Row],[Date]])</f>
        <v>2019</v>
      </c>
      <c r="D286" s="5">
        <v>43767</v>
      </c>
      <c r="E286" s="1" t="s">
        <v>128</v>
      </c>
      <c r="F286" s="1">
        <v>28872</v>
      </c>
      <c r="G286" s="1" t="s">
        <v>67</v>
      </c>
      <c r="H286" s="1" t="s">
        <v>113</v>
      </c>
      <c r="I286" s="1" t="s">
        <v>0</v>
      </c>
      <c r="J286" s="1">
        <v>3</v>
      </c>
      <c r="K286" s="1">
        <f>J286*(IF(I286=ProdFam[[#Headers],[Test]],(VLOOKUP(Data[[#This Row],[Product Family]],ProdFam[],3,FALSE)),(VLOOKUP(Data[[#This Row],[Product Family]],ProdFam[],2,FALSE))))</f>
        <v>141</v>
      </c>
      <c r="L286" s="1">
        <v>25</v>
      </c>
      <c r="M286" s="1">
        <v>3</v>
      </c>
      <c r="N286" s="7">
        <f>IFERROR(Data[[#This Row],[Actual Time]]/Data[[#This Row],[QTY Complete]],"")</f>
        <v>8.3333333333333339</v>
      </c>
      <c r="O286" s="7">
        <f>IF(I286=ProdFam[[#Headers],[Test]],(VLOOKUP(Data[[#This Row],[Product Family]],ProdFam[],3,FALSE)),(VLOOKUP(Data[[#This Row],[Product Family]],ProdFam[],2,FALSE)))</f>
        <v>47</v>
      </c>
    </row>
    <row r="287" spans="2:15" x14ac:dyDescent="0.25">
      <c r="B287" s="1">
        <f>WEEKNUM(Data[[#This Row],[Date]],1)</f>
        <v>44</v>
      </c>
      <c r="C287" s="15">
        <f>YEAR(Data[[#This Row],[Date]])</f>
        <v>2019</v>
      </c>
      <c r="D287" s="5">
        <v>43767</v>
      </c>
      <c r="E287" s="1" t="s">
        <v>128</v>
      </c>
      <c r="F287" s="1">
        <v>61451</v>
      </c>
      <c r="G287" s="1" t="s">
        <v>17</v>
      </c>
      <c r="H287" s="1" t="s">
        <v>162</v>
      </c>
      <c r="I287" s="1" t="s">
        <v>0</v>
      </c>
      <c r="J287" s="1">
        <v>2</v>
      </c>
      <c r="K287" s="1">
        <f>J287*(IF(I287=ProdFam[[#Headers],[Test]],(VLOOKUP(Data[[#This Row],[Product Family]],ProdFam[],3,FALSE)),(VLOOKUP(Data[[#This Row],[Product Family]],ProdFam[],2,FALSE))))</f>
        <v>20</v>
      </c>
      <c r="L287" s="1">
        <v>17</v>
      </c>
      <c r="M287" s="1">
        <v>2</v>
      </c>
      <c r="N287" s="7">
        <f>IFERROR(Data[[#This Row],[Actual Time]]/Data[[#This Row],[QTY Complete]],"")</f>
        <v>8.5</v>
      </c>
      <c r="O287" s="7">
        <f>IF(I287=ProdFam[[#Headers],[Test]],(VLOOKUP(Data[[#This Row],[Product Family]],ProdFam[],3,FALSE)),(VLOOKUP(Data[[#This Row],[Product Family]],ProdFam[],2,FALSE)))</f>
        <v>10</v>
      </c>
    </row>
    <row r="288" spans="2:15" x14ac:dyDescent="0.25">
      <c r="B288" s="1">
        <f>WEEKNUM(Data[[#This Row],[Date]],1)</f>
        <v>44</v>
      </c>
      <c r="C288" s="15">
        <f>YEAR(Data[[#This Row],[Date]])</f>
        <v>2019</v>
      </c>
      <c r="D288" s="5">
        <v>43767</v>
      </c>
      <c r="E288" s="1" t="s">
        <v>128</v>
      </c>
      <c r="F288" s="1">
        <v>61422</v>
      </c>
      <c r="G288" s="1" t="s">
        <v>17</v>
      </c>
      <c r="H288" s="1" t="s">
        <v>162</v>
      </c>
      <c r="I288" s="1" t="s">
        <v>0</v>
      </c>
      <c r="J288" s="1">
        <v>1</v>
      </c>
      <c r="K288" s="1">
        <f>J288*(IF(I288=ProdFam[[#Headers],[Test]],(VLOOKUP(Data[[#This Row],[Product Family]],ProdFam[],3,FALSE)),(VLOOKUP(Data[[#This Row],[Product Family]],ProdFam[],2,FALSE))))</f>
        <v>10</v>
      </c>
      <c r="L288" s="1">
        <v>5</v>
      </c>
      <c r="M288" s="1">
        <v>1</v>
      </c>
      <c r="N288" s="7">
        <f>IFERROR(Data[[#This Row],[Actual Time]]/Data[[#This Row],[QTY Complete]],"")</f>
        <v>5</v>
      </c>
      <c r="O288" s="7">
        <f>IF(I288=ProdFam[[#Headers],[Test]],(VLOOKUP(Data[[#This Row],[Product Family]],ProdFam[],3,FALSE)),(VLOOKUP(Data[[#This Row],[Product Family]],ProdFam[],2,FALSE)))</f>
        <v>10</v>
      </c>
    </row>
    <row r="289" spans="2:15" x14ac:dyDescent="0.25">
      <c r="B289" s="1">
        <f>WEEKNUM(Data[[#This Row],[Date]],1)</f>
        <v>44</v>
      </c>
      <c r="C289" s="15">
        <f>YEAR(Data[[#This Row],[Date]])</f>
        <v>2019</v>
      </c>
      <c r="D289" s="5">
        <v>43767</v>
      </c>
      <c r="E289" s="1" t="s">
        <v>128</v>
      </c>
      <c r="F289" s="1">
        <v>61681</v>
      </c>
      <c r="G289" s="1" t="s">
        <v>28</v>
      </c>
      <c r="H289" s="1" t="s">
        <v>162</v>
      </c>
      <c r="I289" s="1" t="s">
        <v>0</v>
      </c>
      <c r="J289" s="1">
        <v>1</v>
      </c>
      <c r="K289" s="1">
        <f>J289*(IF(I289=ProdFam[[#Headers],[Test]],(VLOOKUP(Data[[#This Row],[Product Family]],ProdFam[],3,FALSE)),(VLOOKUP(Data[[#This Row],[Product Family]],ProdFam[],2,FALSE))))</f>
        <v>10</v>
      </c>
      <c r="L289" s="1">
        <v>8</v>
      </c>
      <c r="M289" s="1">
        <v>1</v>
      </c>
      <c r="N289" s="7">
        <f>IFERROR(Data[[#This Row],[Actual Time]]/Data[[#This Row],[QTY Complete]],"")</f>
        <v>8</v>
      </c>
      <c r="O289" s="7">
        <f>IF(I289=ProdFam[[#Headers],[Test]],(VLOOKUP(Data[[#This Row],[Product Family]],ProdFam[],3,FALSE)),(VLOOKUP(Data[[#This Row],[Product Family]],ProdFam[],2,FALSE)))</f>
        <v>10</v>
      </c>
    </row>
    <row r="290" spans="2:15" x14ac:dyDescent="0.25">
      <c r="B290" s="1">
        <f>WEEKNUM(Data[[#This Row],[Date]],1)</f>
        <v>44</v>
      </c>
      <c r="C290" s="15">
        <f>YEAR(Data[[#This Row],[Date]])</f>
        <v>2019</v>
      </c>
      <c r="D290" s="5">
        <v>43767</v>
      </c>
      <c r="E290" s="1" t="s">
        <v>128</v>
      </c>
      <c r="F290" s="1">
        <v>61665</v>
      </c>
      <c r="G290" s="1" t="s">
        <v>25</v>
      </c>
      <c r="H290" s="1" t="s">
        <v>162</v>
      </c>
      <c r="I290" s="1" t="s">
        <v>0</v>
      </c>
      <c r="J290" s="1">
        <v>5</v>
      </c>
      <c r="K290" s="1">
        <f>J290*(IF(I290=ProdFam[[#Headers],[Test]],(VLOOKUP(Data[[#This Row],[Product Family]],ProdFam[],3,FALSE)),(VLOOKUP(Data[[#This Row],[Product Family]],ProdFam[],2,FALSE))))</f>
        <v>50</v>
      </c>
      <c r="L290" s="1">
        <v>40</v>
      </c>
      <c r="M290" s="1">
        <v>5</v>
      </c>
      <c r="N290" s="7">
        <f>IFERROR(Data[[#This Row],[Actual Time]]/Data[[#This Row],[QTY Complete]],"")</f>
        <v>8</v>
      </c>
      <c r="O290" s="7">
        <f>IF(I290=ProdFam[[#Headers],[Test]],(VLOOKUP(Data[[#This Row],[Product Family]],ProdFam[],3,FALSE)),(VLOOKUP(Data[[#This Row],[Product Family]],ProdFam[],2,FALSE)))</f>
        <v>10</v>
      </c>
    </row>
    <row r="291" spans="2:15" x14ac:dyDescent="0.25">
      <c r="B291" s="1">
        <f>WEEKNUM(Data[[#This Row],[Date]],1)</f>
        <v>44</v>
      </c>
      <c r="C291" s="15">
        <f>YEAR(Data[[#This Row],[Date]])</f>
        <v>2019</v>
      </c>
      <c r="D291" s="5">
        <v>43766</v>
      </c>
      <c r="E291" s="1" t="s">
        <v>122</v>
      </c>
      <c r="F291" s="1">
        <v>28706</v>
      </c>
      <c r="G291" s="1" t="s">
        <v>39</v>
      </c>
      <c r="H291" s="1" t="s">
        <v>112</v>
      </c>
      <c r="I291" s="1" t="s">
        <v>0</v>
      </c>
      <c r="J291" s="1">
        <v>3</v>
      </c>
      <c r="K291" s="1">
        <f>J291*(IF(I291=ProdFam[[#Headers],[Test]],(VLOOKUP(Data[[#This Row],[Product Family]],ProdFam[],3,FALSE)),(VLOOKUP(Data[[#This Row],[Product Family]],ProdFam[],2,FALSE))))</f>
        <v>30</v>
      </c>
      <c r="L291" s="1">
        <v>30</v>
      </c>
      <c r="M291" s="1">
        <v>3</v>
      </c>
      <c r="N291" s="7">
        <f>IFERROR(Data[[#This Row],[Actual Time]]/Data[[#This Row],[QTY Complete]],"")</f>
        <v>10</v>
      </c>
      <c r="O291" s="7">
        <f>IF(I291=ProdFam[[#Headers],[Test]],(VLOOKUP(Data[[#This Row],[Product Family]],ProdFam[],3,FALSE)),(VLOOKUP(Data[[#This Row],[Product Family]],ProdFam[],2,FALSE)))</f>
        <v>10</v>
      </c>
    </row>
    <row r="292" spans="2:15" x14ac:dyDescent="0.25">
      <c r="B292" s="1">
        <f>WEEKNUM(Data[[#This Row],[Date]],1)</f>
        <v>44</v>
      </c>
      <c r="C292" s="15">
        <f>YEAR(Data[[#This Row],[Date]])</f>
        <v>2019</v>
      </c>
      <c r="D292" s="5">
        <v>43766</v>
      </c>
      <c r="E292" s="1" t="s">
        <v>122</v>
      </c>
      <c r="F292" s="1">
        <v>28727</v>
      </c>
      <c r="G292" s="1" t="s">
        <v>21</v>
      </c>
      <c r="H292" s="1" t="s">
        <v>123</v>
      </c>
      <c r="I292" s="1" t="s">
        <v>0</v>
      </c>
      <c r="J292" s="1">
        <v>10</v>
      </c>
      <c r="K292" s="1">
        <f>J292*(IF(I292=ProdFam[[#Headers],[Test]],(VLOOKUP(Data[[#This Row],[Product Family]],ProdFam[],3,FALSE)),(VLOOKUP(Data[[#This Row],[Product Family]],ProdFam[],2,FALSE))))</f>
        <v>900</v>
      </c>
      <c r="L292" s="1">
        <v>225</v>
      </c>
      <c r="M292" s="1">
        <v>0</v>
      </c>
      <c r="N292" s="7" t="str">
        <f>IFERROR(Data[[#This Row],[Actual Time]]/Data[[#This Row],[QTY Complete]],"")</f>
        <v/>
      </c>
      <c r="O292" s="7">
        <f>IF(I292=ProdFam[[#Headers],[Test]],(VLOOKUP(Data[[#This Row],[Product Family]],ProdFam[],3,FALSE)),(VLOOKUP(Data[[#This Row],[Product Family]],ProdFam[],2,FALSE)))</f>
        <v>90</v>
      </c>
    </row>
    <row r="293" spans="2:15" x14ac:dyDescent="0.25">
      <c r="B293" s="1">
        <f>WEEKNUM(Data[[#This Row],[Date]],1)</f>
        <v>44</v>
      </c>
      <c r="C293" s="15">
        <f>YEAR(Data[[#This Row],[Date]])</f>
        <v>2019</v>
      </c>
      <c r="D293" s="5">
        <v>43766</v>
      </c>
      <c r="E293" s="1" t="s">
        <v>122</v>
      </c>
      <c r="F293" s="1">
        <v>28819</v>
      </c>
      <c r="G293" s="1" t="s">
        <v>48</v>
      </c>
      <c r="H293" s="1" t="s">
        <v>112</v>
      </c>
      <c r="I293" s="1" t="s">
        <v>0</v>
      </c>
      <c r="J293" s="1">
        <v>6</v>
      </c>
      <c r="K293" s="1">
        <f>J293*(IF(I293=ProdFam[[#Headers],[Test]],(VLOOKUP(Data[[#This Row],[Product Family]],ProdFam[],3,FALSE)),(VLOOKUP(Data[[#This Row],[Product Family]],ProdFam[],2,FALSE))))</f>
        <v>60</v>
      </c>
      <c r="L293" s="1">
        <v>185</v>
      </c>
      <c r="M293" s="1">
        <v>6</v>
      </c>
      <c r="N293" s="7">
        <f>IFERROR(Data[[#This Row],[Actual Time]]/Data[[#This Row],[QTY Complete]],"")</f>
        <v>30.833333333333332</v>
      </c>
      <c r="O293" s="7">
        <f>IF(I293=ProdFam[[#Headers],[Test]],(VLOOKUP(Data[[#This Row],[Product Family]],ProdFam[],3,FALSE)),(VLOOKUP(Data[[#This Row],[Product Family]],ProdFam[],2,FALSE)))</f>
        <v>10</v>
      </c>
    </row>
    <row r="294" spans="2:15" x14ac:dyDescent="0.25">
      <c r="B294" s="1">
        <f>WEEKNUM(Data[[#This Row],[Date]],1)</f>
        <v>44</v>
      </c>
      <c r="C294" s="15">
        <f>YEAR(Data[[#This Row],[Date]])</f>
        <v>2019</v>
      </c>
      <c r="D294" s="5">
        <v>43766</v>
      </c>
      <c r="E294" s="1" t="s">
        <v>128</v>
      </c>
      <c r="F294" s="1">
        <v>59880</v>
      </c>
      <c r="G294" s="1" t="s">
        <v>41</v>
      </c>
      <c r="H294" s="1" t="s">
        <v>162</v>
      </c>
      <c r="I294" s="1" t="s">
        <v>0</v>
      </c>
      <c r="J294" s="1">
        <v>8</v>
      </c>
      <c r="K294" s="1">
        <f>J294*(IF(I294=ProdFam[[#Headers],[Test]],(VLOOKUP(Data[[#This Row],[Product Family]],ProdFam[],3,FALSE)),(VLOOKUP(Data[[#This Row],[Product Family]],ProdFam[],2,FALSE))))</f>
        <v>80</v>
      </c>
      <c r="L294" s="1">
        <v>180</v>
      </c>
      <c r="M294" s="1">
        <v>7</v>
      </c>
      <c r="N294" s="7">
        <f>IFERROR(Data[[#This Row],[Actual Time]]/Data[[#This Row],[QTY Complete]],"")</f>
        <v>25.714285714285715</v>
      </c>
      <c r="O294" s="7">
        <f>IF(I294=ProdFam[[#Headers],[Test]],(VLOOKUP(Data[[#This Row],[Product Family]],ProdFam[],3,FALSE)),(VLOOKUP(Data[[#This Row],[Product Family]],ProdFam[],2,FALSE)))</f>
        <v>10</v>
      </c>
    </row>
    <row r="295" spans="2:15" x14ac:dyDescent="0.25">
      <c r="B295" s="1">
        <f>WEEKNUM(Data[[#This Row],[Date]],1)</f>
        <v>44</v>
      </c>
      <c r="C295" s="15">
        <f>YEAR(Data[[#This Row],[Date]])</f>
        <v>2019</v>
      </c>
      <c r="D295" s="5">
        <v>43766</v>
      </c>
      <c r="E295" s="1" t="s">
        <v>128</v>
      </c>
      <c r="F295" s="1" t="s">
        <v>130</v>
      </c>
      <c r="G295" s="1" t="s">
        <v>11</v>
      </c>
      <c r="H295" s="1" t="s">
        <v>162</v>
      </c>
      <c r="I295" s="1" t="s">
        <v>0</v>
      </c>
      <c r="J295" s="1">
        <v>3</v>
      </c>
      <c r="K295" s="1">
        <f>J295*(IF(I295=ProdFam[[#Headers],[Test]],(VLOOKUP(Data[[#This Row],[Product Family]],ProdFam[],3,FALSE)),(VLOOKUP(Data[[#This Row],[Product Family]],ProdFam[],2,FALSE))))</f>
        <v>30</v>
      </c>
      <c r="L295" s="1">
        <v>50</v>
      </c>
      <c r="M295" s="1">
        <v>3</v>
      </c>
      <c r="N295" s="7">
        <f>IFERROR(Data[[#This Row],[Actual Time]]/Data[[#This Row],[QTY Complete]],"")</f>
        <v>16.666666666666668</v>
      </c>
      <c r="O295" s="7">
        <f>IF(I295=ProdFam[[#Headers],[Test]],(VLOOKUP(Data[[#This Row],[Product Family]],ProdFam[],3,FALSE)),(VLOOKUP(Data[[#This Row],[Product Family]],ProdFam[],2,FALSE)))</f>
        <v>10</v>
      </c>
    </row>
    <row r="296" spans="2:15" x14ac:dyDescent="0.25">
      <c r="B296" s="1">
        <f>WEEKNUM(Data[[#This Row],[Date]],1)</f>
        <v>44</v>
      </c>
      <c r="C296" s="15">
        <f>YEAR(Data[[#This Row],[Date]])</f>
        <v>2019</v>
      </c>
      <c r="D296" s="5">
        <v>43766</v>
      </c>
      <c r="E296" s="1" t="s">
        <v>128</v>
      </c>
      <c r="F296" s="1">
        <v>59880</v>
      </c>
      <c r="G296" s="1" t="s">
        <v>41</v>
      </c>
      <c r="H296" s="1" t="s">
        <v>162</v>
      </c>
      <c r="I296" s="1" t="s">
        <v>0</v>
      </c>
      <c r="J296" s="1">
        <v>1</v>
      </c>
      <c r="K296" s="1">
        <f>J296*(IF(I296=ProdFam[[#Headers],[Test]],(VLOOKUP(Data[[#This Row],[Product Family]],ProdFam[],3,FALSE)),(VLOOKUP(Data[[#This Row],[Product Family]],ProdFam[],2,FALSE))))</f>
        <v>10</v>
      </c>
      <c r="L296" s="1">
        <v>10</v>
      </c>
      <c r="M296" s="1">
        <v>1</v>
      </c>
      <c r="N296" s="7">
        <f>IFERROR(Data[[#This Row],[Actual Time]]/Data[[#This Row],[QTY Complete]],"")</f>
        <v>10</v>
      </c>
      <c r="O296" s="7">
        <f>IF(I296=ProdFam[[#Headers],[Test]],(VLOOKUP(Data[[#This Row],[Product Family]],ProdFam[],3,FALSE)),(VLOOKUP(Data[[#This Row],[Product Family]],ProdFam[],2,FALSE)))</f>
        <v>10</v>
      </c>
    </row>
    <row r="297" spans="2:15" x14ac:dyDescent="0.25">
      <c r="B297" s="1">
        <f>WEEKNUM(Data[[#This Row],[Date]],1)</f>
        <v>44</v>
      </c>
      <c r="C297" s="15">
        <f>YEAR(Data[[#This Row],[Date]])</f>
        <v>2019</v>
      </c>
      <c r="D297" s="5">
        <v>43766</v>
      </c>
      <c r="E297" s="1" t="s">
        <v>128</v>
      </c>
      <c r="F297" s="1">
        <v>60681</v>
      </c>
      <c r="G297" s="1" t="s">
        <v>25</v>
      </c>
      <c r="H297" s="1" t="s">
        <v>162</v>
      </c>
      <c r="I297" s="1" t="s">
        <v>0</v>
      </c>
      <c r="J297" s="1">
        <v>1</v>
      </c>
      <c r="K297" s="1">
        <f>J297*(IF(I297=ProdFam[[#Headers],[Test]],(VLOOKUP(Data[[#This Row],[Product Family]],ProdFam[],3,FALSE)),(VLOOKUP(Data[[#This Row],[Product Family]],ProdFam[],2,FALSE))))</f>
        <v>10</v>
      </c>
      <c r="L297" s="1">
        <v>15</v>
      </c>
      <c r="M297" s="1">
        <v>1</v>
      </c>
      <c r="N297" s="7">
        <f>IFERROR(Data[[#This Row],[Actual Time]]/Data[[#This Row],[QTY Complete]],"")</f>
        <v>15</v>
      </c>
      <c r="O297" s="7">
        <f>IF(I297=ProdFam[[#Headers],[Test]],(VLOOKUP(Data[[#This Row],[Product Family]],ProdFam[],3,FALSE)),(VLOOKUP(Data[[#This Row],[Product Family]],ProdFam[],2,FALSE)))</f>
        <v>10</v>
      </c>
    </row>
    <row r="298" spans="2:15" x14ac:dyDescent="0.25">
      <c r="B298" s="1">
        <f>WEEKNUM(Data[[#This Row],[Date]],1)</f>
        <v>44</v>
      </c>
      <c r="C298" s="15">
        <f>YEAR(Data[[#This Row],[Date]])</f>
        <v>2019</v>
      </c>
      <c r="D298" s="5">
        <v>43766</v>
      </c>
      <c r="E298" s="1" t="s">
        <v>128</v>
      </c>
      <c r="F298" s="1">
        <v>28872</v>
      </c>
      <c r="G298" s="1" t="s">
        <v>67</v>
      </c>
      <c r="H298" s="1" t="s">
        <v>113</v>
      </c>
      <c r="I298" s="1" t="s">
        <v>0</v>
      </c>
      <c r="J298" s="1">
        <v>8</v>
      </c>
      <c r="K298" s="1">
        <f>J298*(IF(I298=ProdFam[[#Headers],[Test]],(VLOOKUP(Data[[#This Row],[Product Family]],ProdFam[],3,FALSE)),(VLOOKUP(Data[[#This Row],[Product Family]],ProdFam[],2,FALSE))))</f>
        <v>376</v>
      </c>
      <c r="L298" s="1">
        <v>95</v>
      </c>
      <c r="M298" s="1">
        <v>5</v>
      </c>
      <c r="N298" s="7">
        <f>IFERROR(Data[[#This Row],[Actual Time]]/Data[[#This Row],[QTY Complete]],"")</f>
        <v>19</v>
      </c>
      <c r="O298" s="7">
        <f>IF(I298=ProdFam[[#Headers],[Test]],(VLOOKUP(Data[[#This Row],[Product Family]],ProdFam[],3,FALSE)),(VLOOKUP(Data[[#This Row],[Product Family]],ProdFam[],2,FALSE)))</f>
        <v>47</v>
      </c>
    </row>
    <row r="299" spans="2:15" x14ac:dyDescent="0.25">
      <c r="B299" s="1">
        <f>WEEKNUM(Data[[#This Row],[Date]],1)</f>
        <v>44</v>
      </c>
      <c r="C299" s="15">
        <f>YEAR(Data[[#This Row],[Date]])</f>
        <v>2019</v>
      </c>
      <c r="D299" s="5">
        <v>43766</v>
      </c>
      <c r="E299" s="1" t="s">
        <v>118</v>
      </c>
      <c r="F299" s="1">
        <v>28654</v>
      </c>
      <c r="G299" s="1" t="s">
        <v>58</v>
      </c>
      <c r="H299" s="1" t="s">
        <v>112</v>
      </c>
      <c r="I299" s="1" t="s">
        <v>0</v>
      </c>
      <c r="J299" s="1">
        <v>12</v>
      </c>
      <c r="K299" s="1">
        <f>J299*(IF(I299=ProdFam[[#Headers],[Test]],(VLOOKUP(Data[[#This Row],[Product Family]],ProdFam[],3,FALSE)),(VLOOKUP(Data[[#This Row],[Product Family]],ProdFam[],2,FALSE))))</f>
        <v>120</v>
      </c>
      <c r="L299" s="1">
        <v>165</v>
      </c>
      <c r="M299" s="1">
        <v>12</v>
      </c>
      <c r="N299" s="7">
        <f>IFERROR(Data[[#This Row],[Actual Time]]/Data[[#This Row],[QTY Complete]],"")</f>
        <v>13.75</v>
      </c>
      <c r="O299" s="7">
        <f>IF(I299=ProdFam[[#Headers],[Test]],(VLOOKUP(Data[[#This Row],[Product Family]],ProdFam[],3,FALSE)),(VLOOKUP(Data[[#This Row],[Product Family]],ProdFam[],2,FALSE)))</f>
        <v>10</v>
      </c>
    </row>
    <row r="300" spans="2:15" x14ac:dyDescent="0.25">
      <c r="B300" s="1">
        <f>WEEKNUM(Data[[#This Row],[Date]],1)</f>
        <v>44</v>
      </c>
      <c r="C300" s="15">
        <f>YEAR(Data[[#This Row],[Date]])</f>
        <v>2019</v>
      </c>
      <c r="D300" s="5">
        <v>43766</v>
      </c>
      <c r="E300" s="1" t="s">
        <v>118</v>
      </c>
      <c r="F300" s="1">
        <v>28855</v>
      </c>
      <c r="G300" s="1" t="s">
        <v>71</v>
      </c>
      <c r="H300" s="1" t="s">
        <v>115</v>
      </c>
      <c r="I300" s="1" t="s">
        <v>0</v>
      </c>
      <c r="J300" s="1">
        <v>3</v>
      </c>
      <c r="K300" s="1">
        <f>J300*(IF(I300=ProdFam[[#Headers],[Test]],(VLOOKUP(Data[[#This Row],[Product Family]],ProdFam[],3,FALSE)),(VLOOKUP(Data[[#This Row],[Product Family]],ProdFam[],2,FALSE))))</f>
        <v>24</v>
      </c>
      <c r="L300" s="1">
        <v>10</v>
      </c>
      <c r="M300" s="1">
        <v>3</v>
      </c>
      <c r="N300" s="7">
        <f>IFERROR(Data[[#This Row],[Actual Time]]/Data[[#This Row],[QTY Complete]],"")</f>
        <v>3.3333333333333335</v>
      </c>
      <c r="O300" s="7">
        <f>IF(I300=ProdFam[[#Headers],[Test]],(VLOOKUP(Data[[#This Row],[Product Family]],ProdFam[],3,FALSE)),(VLOOKUP(Data[[#This Row],[Product Family]],ProdFam[],2,FALSE)))</f>
        <v>8</v>
      </c>
    </row>
    <row r="301" spans="2:15" x14ac:dyDescent="0.25">
      <c r="B301" s="1">
        <f>WEEKNUM(Data[[#This Row],[Date]],1)</f>
        <v>44</v>
      </c>
      <c r="C301" s="15">
        <f>YEAR(Data[[#This Row],[Date]])</f>
        <v>2019</v>
      </c>
      <c r="D301" s="5">
        <v>43766</v>
      </c>
      <c r="E301" s="1" t="s">
        <v>118</v>
      </c>
      <c r="F301" s="1">
        <v>28825</v>
      </c>
      <c r="G301" s="1" t="s">
        <v>62</v>
      </c>
      <c r="H301" s="1" t="s">
        <v>112</v>
      </c>
      <c r="I301" s="1" t="s">
        <v>0</v>
      </c>
      <c r="J301" s="1">
        <v>24</v>
      </c>
      <c r="K301" s="1">
        <f>J301*(IF(I301=ProdFam[[#Headers],[Test]],(VLOOKUP(Data[[#This Row],[Product Family]],ProdFam[],3,FALSE)),(VLOOKUP(Data[[#This Row],[Product Family]],ProdFam[],2,FALSE))))</f>
        <v>240</v>
      </c>
      <c r="L301" s="1">
        <v>30</v>
      </c>
      <c r="M301" s="1">
        <v>24</v>
      </c>
      <c r="N301" s="7">
        <f>IFERROR(Data[[#This Row],[Actual Time]]/Data[[#This Row],[QTY Complete]],"")</f>
        <v>1.25</v>
      </c>
      <c r="O301" s="7">
        <f>IF(I301=ProdFam[[#Headers],[Test]],(VLOOKUP(Data[[#This Row],[Product Family]],ProdFam[],3,FALSE)),(VLOOKUP(Data[[#This Row],[Product Family]],ProdFam[],2,FALSE)))</f>
        <v>10</v>
      </c>
    </row>
    <row r="302" spans="2:15" x14ac:dyDescent="0.25">
      <c r="B302" s="1">
        <f>WEEKNUM(Data[[#This Row],[Date]],1)</f>
        <v>44</v>
      </c>
      <c r="C302" s="15">
        <f>YEAR(Data[[#This Row],[Date]])</f>
        <v>2019</v>
      </c>
      <c r="D302" s="5">
        <v>43766</v>
      </c>
      <c r="E302" s="1" t="s">
        <v>118</v>
      </c>
      <c r="F302" s="1">
        <v>28824</v>
      </c>
      <c r="G302" s="1" t="s">
        <v>72</v>
      </c>
      <c r="H302" s="1" t="s">
        <v>115</v>
      </c>
      <c r="I302" s="1" t="s">
        <v>0</v>
      </c>
      <c r="J302" s="1">
        <v>6</v>
      </c>
      <c r="K302" s="1">
        <f>J302*(IF(I302=ProdFam[[#Headers],[Test]],(VLOOKUP(Data[[#This Row],[Product Family]],ProdFam[],3,FALSE)),(VLOOKUP(Data[[#This Row],[Product Family]],ProdFam[],2,FALSE))))</f>
        <v>48</v>
      </c>
      <c r="L302" s="1">
        <v>50</v>
      </c>
      <c r="M302" s="1">
        <v>6</v>
      </c>
      <c r="N302" s="7">
        <f>IFERROR(Data[[#This Row],[Actual Time]]/Data[[#This Row],[QTY Complete]],"")</f>
        <v>8.3333333333333339</v>
      </c>
      <c r="O302" s="7">
        <f>IF(I302=ProdFam[[#Headers],[Test]],(VLOOKUP(Data[[#This Row],[Product Family]],ProdFam[],3,FALSE)),(VLOOKUP(Data[[#This Row],[Product Family]],ProdFam[],2,FALSE)))</f>
        <v>8</v>
      </c>
    </row>
    <row r="303" spans="2:15" x14ac:dyDescent="0.25">
      <c r="B303" s="1">
        <f>WEEKNUM(Data[[#This Row],[Date]],1)</f>
        <v>44</v>
      </c>
      <c r="C303" s="15">
        <f>YEAR(Data[[#This Row],[Date]])</f>
        <v>2019</v>
      </c>
      <c r="D303" s="5">
        <v>43766</v>
      </c>
      <c r="E303" s="1" t="s">
        <v>118</v>
      </c>
      <c r="F303" s="1">
        <v>28860</v>
      </c>
      <c r="G303" s="1" t="s">
        <v>73</v>
      </c>
      <c r="H303" s="1" t="s">
        <v>129</v>
      </c>
      <c r="I303" s="1" t="s">
        <v>0</v>
      </c>
      <c r="J303" s="1">
        <v>1</v>
      </c>
      <c r="K303" s="1">
        <f>J303*(IF(I303=ProdFam[[#Headers],[Test]],(VLOOKUP(Data[[#This Row],[Product Family]],ProdFam[],3,FALSE)),(VLOOKUP(Data[[#This Row],[Product Family]],ProdFam[],2,FALSE))))</f>
        <v>18</v>
      </c>
      <c r="L303" s="1">
        <v>90</v>
      </c>
      <c r="M303" s="1">
        <v>1</v>
      </c>
      <c r="N303" s="7">
        <f>IFERROR(Data[[#This Row],[Actual Time]]/Data[[#This Row],[QTY Complete]],"")</f>
        <v>90</v>
      </c>
      <c r="O303" s="7">
        <f>IF(I303=ProdFam[[#Headers],[Test]],(VLOOKUP(Data[[#This Row],[Product Family]],ProdFam[],3,FALSE)),(VLOOKUP(Data[[#This Row],[Product Family]],ProdFam[],2,FALSE)))</f>
        <v>18</v>
      </c>
    </row>
    <row r="304" spans="2:15" x14ac:dyDescent="0.25">
      <c r="B304" s="1">
        <f>WEEKNUM(Data[[#This Row],[Date]],1)</f>
        <v>44</v>
      </c>
      <c r="C304" s="15">
        <f>YEAR(Data[[#This Row],[Date]])</f>
        <v>2019</v>
      </c>
      <c r="D304" s="5">
        <v>43766</v>
      </c>
      <c r="E304" s="1" t="s">
        <v>117</v>
      </c>
      <c r="F304" s="1">
        <v>28702</v>
      </c>
      <c r="G304" s="1" t="s">
        <v>39</v>
      </c>
      <c r="H304" s="1" t="s">
        <v>112</v>
      </c>
      <c r="I304" s="1" t="s">
        <v>1</v>
      </c>
      <c r="J304" s="1">
        <v>3</v>
      </c>
      <c r="K304" s="1">
        <f>J304*(IF(I304=ProdFam[[#Headers],[Test]],(VLOOKUP(Data[[#This Row],[Product Family]],ProdFam[],3,FALSE)),(VLOOKUP(Data[[#This Row],[Product Family]],ProdFam[],2,FALSE))))</f>
        <v>30</v>
      </c>
      <c r="L304" s="1">
        <v>15</v>
      </c>
      <c r="M304" s="1">
        <v>3</v>
      </c>
      <c r="N304" s="7">
        <f>IFERROR(Data[[#This Row],[Actual Time]]/Data[[#This Row],[QTY Complete]],"")</f>
        <v>5</v>
      </c>
      <c r="O304" s="7">
        <f>IF(I304=ProdFam[[#Headers],[Test]],(VLOOKUP(Data[[#This Row],[Product Family]],ProdFam[],3,FALSE)),(VLOOKUP(Data[[#This Row],[Product Family]],ProdFam[],2,FALSE)))</f>
        <v>10</v>
      </c>
    </row>
    <row r="305" spans="2:15" x14ac:dyDescent="0.25">
      <c r="B305" s="1">
        <f>WEEKNUM(Data[[#This Row],[Date]],1)</f>
        <v>44</v>
      </c>
      <c r="C305" s="15">
        <f>YEAR(Data[[#This Row],[Date]])</f>
        <v>2019</v>
      </c>
      <c r="D305" s="5">
        <v>43766</v>
      </c>
      <c r="E305" s="1" t="s">
        <v>117</v>
      </c>
      <c r="F305" s="1">
        <v>28819</v>
      </c>
      <c r="G305" s="1" t="s">
        <v>48</v>
      </c>
      <c r="H305" s="1" t="s">
        <v>112</v>
      </c>
      <c r="I305" s="1" t="s">
        <v>1</v>
      </c>
      <c r="J305" s="1">
        <v>1</v>
      </c>
      <c r="K305" s="1">
        <f>J305*(IF(I305=ProdFam[[#Headers],[Test]],(VLOOKUP(Data[[#This Row],[Product Family]],ProdFam[],3,FALSE)),(VLOOKUP(Data[[#This Row],[Product Family]],ProdFam[],2,FALSE))))</f>
        <v>10</v>
      </c>
      <c r="L305" s="1">
        <v>20</v>
      </c>
      <c r="M305" s="1">
        <v>1</v>
      </c>
      <c r="N305" s="7">
        <f>IFERROR(Data[[#This Row],[Actual Time]]/Data[[#This Row],[QTY Complete]],"")</f>
        <v>20</v>
      </c>
      <c r="O305" s="7">
        <f>IF(I305=ProdFam[[#Headers],[Test]],(VLOOKUP(Data[[#This Row],[Product Family]],ProdFam[],3,FALSE)),(VLOOKUP(Data[[#This Row],[Product Family]],ProdFam[],2,FALSE)))</f>
        <v>10</v>
      </c>
    </row>
    <row r="306" spans="2:15" x14ac:dyDescent="0.25">
      <c r="B306" s="1">
        <f>WEEKNUM(Data[[#This Row],[Date]],1)</f>
        <v>44</v>
      </c>
      <c r="C306" s="15">
        <f>YEAR(Data[[#This Row],[Date]])</f>
        <v>2019</v>
      </c>
      <c r="D306" s="5">
        <v>43766</v>
      </c>
      <c r="E306" s="1" t="s">
        <v>119</v>
      </c>
      <c r="F306" s="1">
        <v>28720</v>
      </c>
      <c r="G306" s="1" t="s">
        <v>63</v>
      </c>
      <c r="H306" s="1" t="s">
        <v>115</v>
      </c>
      <c r="I306" s="1" t="s">
        <v>1</v>
      </c>
      <c r="J306" s="1">
        <v>13</v>
      </c>
      <c r="K306" s="1">
        <f>J306*(IF(I306=ProdFam[[#Headers],[Test]],(VLOOKUP(Data[[#This Row],[Product Family]],ProdFam[],3,FALSE)),(VLOOKUP(Data[[#This Row],[Product Family]],ProdFam[],2,FALSE))))</f>
        <v>312</v>
      </c>
      <c r="L306" s="1">
        <v>315</v>
      </c>
      <c r="M306" s="1">
        <v>13</v>
      </c>
      <c r="N306" s="7">
        <f>IFERROR(Data[[#This Row],[Actual Time]]/Data[[#This Row],[QTY Complete]],"")</f>
        <v>24.23076923076923</v>
      </c>
      <c r="O306" s="7">
        <f>IF(I306=ProdFam[[#Headers],[Test]],(VLOOKUP(Data[[#This Row],[Product Family]],ProdFam[],3,FALSE)),(VLOOKUP(Data[[#This Row],[Product Family]],ProdFam[],2,FALSE)))</f>
        <v>24</v>
      </c>
    </row>
    <row r="307" spans="2:15" x14ac:dyDescent="0.25">
      <c r="B307" s="1">
        <f>WEEKNUM(Data[[#This Row],[Date]],1)</f>
        <v>44</v>
      </c>
      <c r="C307" s="15">
        <f>YEAR(Data[[#This Row],[Date]])</f>
        <v>2019</v>
      </c>
      <c r="D307" s="5">
        <v>43766</v>
      </c>
      <c r="E307" s="1" t="s">
        <v>119</v>
      </c>
      <c r="F307" s="1">
        <v>28824</v>
      </c>
      <c r="G307" s="1" t="s">
        <v>72</v>
      </c>
      <c r="H307" s="1" t="s">
        <v>115</v>
      </c>
      <c r="I307" s="1" t="s">
        <v>1</v>
      </c>
      <c r="J307" s="1">
        <v>6</v>
      </c>
      <c r="K307" s="1">
        <f>J307*(IF(I307=ProdFam[[#Headers],[Test]],(VLOOKUP(Data[[#This Row],[Product Family]],ProdFam[],3,FALSE)),(VLOOKUP(Data[[#This Row],[Product Family]],ProdFam[],2,FALSE))))</f>
        <v>144</v>
      </c>
      <c r="L307" s="1">
        <v>40</v>
      </c>
      <c r="M307" s="1">
        <v>0</v>
      </c>
      <c r="N307" s="7" t="str">
        <f>IFERROR(Data[[#This Row],[Actual Time]]/Data[[#This Row],[QTY Complete]],"")</f>
        <v/>
      </c>
      <c r="O307" s="7">
        <f>IF(I307=ProdFam[[#Headers],[Test]],(VLOOKUP(Data[[#This Row],[Product Family]],ProdFam[],3,FALSE)),(VLOOKUP(Data[[#This Row],[Product Family]],ProdFam[],2,FALSE)))</f>
        <v>24</v>
      </c>
    </row>
    <row r="308" spans="2:15" x14ac:dyDescent="0.25">
      <c r="B308" s="1">
        <f>WEEKNUM(Data[[#This Row],[Date]],1)</f>
        <v>44</v>
      </c>
      <c r="C308" s="15">
        <f>YEAR(Data[[#This Row],[Date]])</f>
        <v>2019</v>
      </c>
      <c r="D308" s="5">
        <v>43766</v>
      </c>
      <c r="E308" s="1" t="s">
        <v>111</v>
      </c>
      <c r="F308" s="1">
        <v>28717</v>
      </c>
      <c r="G308" s="1" t="s">
        <v>60</v>
      </c>
      <c r="H308" s="1" t="s">
        <v>113</v>
      </c>
      <c r="I308" s="1" t="s">
        <v>1</v>
      </c>
      <c r="J308" s="1">
        <v>5</v>
      </c>
      <c r="K308" s="1">
        <f>J308*(IF(I308=ProdFam[[#Headers],[Test]],(VLOOKUP(Data[[#This Row],[Product Family]],ProdFam[],3,FALSE)),(VLOOKUP(Data[[#This Row],[Product Family]],ProdFam[],2,FALSE))))</f>
        <v>160</v>
      </c>
      <c r="L308" s="1">
        <v>150</v>
      </c>
      <c r="M308" s="1">
        <v>5</v>
      </c>
      <c r="N308" s="7">
        <f>IFERROR(Data[[#This Row],[Actual Time]]/Data[[#This Row],[QTY Complete]],"")</f>
        <v>30</v>
      </c>
      <c r="O308" s="7">
        <f>IF(I308=ProdFam[[#Headers],[Test]],(VLOOKUP(Data[[#This Row],[Product Family]],ProdFam[],3,FALSE)),(VLOOKUP(Data[[#This Row],[Product Family]],ProdFam[],2,FALSE)))</f>
        <v>32</v>
      </c>
    </row>
    <row r="309" spans="2:15" x14ac:dyDescent="0.25">
      <c r="B309" s="1">
        <f>WEEKNUM(Data[[#This Row],[Date]],1)</f>
        <v>44</v>
      </c>
      <c r="C309" s="15">
        <f>YEAR(Data[[#This Row],[Date]])</f>
        <v>2019</v>
      </c>
      <c r="D309" s="5">
        <v>43766</v>
      </c>
      <c r="E309" s="1" t="s">
        <v>111</v>
      </c>
      <c r="F309" s="1">
        <v>28811</v>
      </c>
      <c r="G309" s="1" t="s">
        <v>22</v>
      </c>
      <c r="H309" s="1" t="s">
        <v>112</v>
      </c>
      <c r="I309" s="1" t="s">
        <v>1</v>
      </c>
      <c r="J309" s="1">
        <v>1</v>
      </c>
      <c r="K309" s="1">
        <f>J309*(IF(I309=ProdFam[[#Headers],[Test]],(VLOOKUP(Data[[#This Row],[Product Family]],ProdFam[],3,FALSE)),(VLOOKUP(Data[[#This Row],[Product Family]],ProdFam[],2,FALSE))))</f>
        <v>10</v>
      </c>
      <c r="L309" s="1">
        <v>60</v>
      </c>
      <c r="M309" s="1">
        <v>0</v>
      </c>
      <c r="N309" s="7" t="str">
        <f>IFERROR(Data[[#This Row],[Actual Time]]/Data[[#This Row],[QTY Complete]],"")</f>
        <v/>
      </c>
      <c r="O309" s="7">
        <f>IF(I309=ProdFam[[#Headers],[Test]],(VLOOKUP(Data[[#This Row],[Product Family]],ProdFam[],3,FALSE)),(VLOOKUP(Data[[#This Row],[Product Family]],ProdFam[],2,FALSE)))</f>
        <v>10</v>
      </c>
    </row>
    <row r="310" spans="2:15" x14ac:dyDescent="0.25">
      <c r="B310" s="1">
        <f>WEEKNUM(Data[[#This Row],[Date]],1)</f>
        <v>44</v>
      </c>
      <c r="C310" s="15">
        <f>YEAR(Data[[#This Row],[Date]])</f>
        <v>2019</v>
      </c>
      <c r="D310" s="5">
        <v>43766</v>
      </c>
      <c r="E310" s="1" t="s">
        <v>111</v>
      </c>
      <c r="F310" s="1">
        <v>28712</v>
      </c>
      <c r="G310" s="1" t="s">
        <v>8</v>
      </c>
      <c r="H310" s="1" t="s">
        <v>112</v>
      </c>
      <c r="I310" s="1" t="s">
        <v>1</v>
      </c>
      <c r="J310" s="1">
        <v>21</v>
      </c>
      <c r="K310" s="1">
        <f>J310*(IF(I310=ProdFam[[#Headers],[Test]],(VLOOKUP(Data[[#This Row],[Product Family]],ProdFam[],3,FALSE)),(VLOOKUP(Data[[#This Row],[Product Family]],ProdFam[],2,FALSE))))</f>
        <v>210</v>
      </c>
      <c r="L310" s="1">
        <v>120</v>
      </c>
      <c r="M310" s="1">
        <v>21</v>
      </c>
      <c r="N310" s="7">
        <f>IFERROR(Data[[#This Row],[Actual Time]]/Data[[#This Row],[QTY Complete]],"")</f>
        <v>5.7142857142857144</v>
      </c>
      <c r="O310" s="7">
        <f>IF(I310=ProdFam[[#Headers],[Test]],(VLOOKUP(Data[[#This Row],[Product Family]],ProdFam[],3,FALSE)),(VLOOKUP(Data[[#This Row],[Product Family]],ProdFam[],2,FALSE)))</f>
        <v>10</v>
      </c>
    </row>
    <row r="311" spans="2:15" x14ac:dyDescent="0.25">
      <c r="B311" s="1">
        <f>WEEKNUM(Data[[#This Row],[Date]],1)</f>
        <v>45</v>
      </c>
      <c r="C311" s="15">
        <f>YEAR(Data[[#This Row],[Date]])</f>
        <v>2019</v>
      </c>
      <c r="D311" s="5">
        <v>43773</v>
      </c>
      <c r="E311" s="1" t="s">
        <v>117</v>
      </c>
      <c r="F311" s="1">
        <v>28950</v>
      </c>
      <c r="G311" s="1" t="s">
        <v>62</v>
      </c>
      <c r="H311" s="1" t="s">
        <v>112</v>
      </c>
      <c r="I311" s="1" t="s">
        <v>1</v>
      </c>
      <c r="J311" s="1">
        <v>24</v>
      </c>
      <c r="K311" s="1">
        <f>J311*(IF(I311=ProdFam[[#Headers],[Test]],(VLOOKUP(Data[[#This Row],[Product Family]],ProdFam[],3,FALSE)),(VLOOKUP(Data[[#This Row],[Product Family]],ProdFam[],2,FALSE))))</f>
        <v>240</v>
      </c>
      <c r="L311" s="1">
        <v>210</v>
      </c>
      <c r="M311" s="1">
        <v>24</v>
      </c>
      <c r="N311" s="7">
        <f>IFERROR(Data[[#This Row],[Actual Time]]/Data[[#This Row],[QTY Complete]],"")</f>
        <v>8.75</v>
      </c>
      <c r="O311" s="7">
        <f>IF(I311=ProdFam[[#Headers],[Test]],(VLOOKUP(Data[[#This Row],[Product Family]],ProdFam[],3,FALSE)),(VLOOKUP(Data[[#This Row],[Product Family]],ProdFam[],2,FALSE)))</f>
        <v>10</v>
      </c>
    </row>
    <row r="312" spans="2:15" x14ac:dyDescent="0.25">
      <c r="B312" s="1">
        <f>WEEKNUM(Data[[#This Row],[Date]],1)</f>
        <v>45</v>
      </c>
      <c r="C312" s="15">
        <f>YEAR(Data[[#This Row],[Date]])</f>
        <v>2019</v>
      </c>
      <c r="D312" s="5">
        <v>43773</v>
      </c>
      <c r="E312" s="1" t="s">
        <v>117</v>
      </c>
      <c r="F312" s="1">
        <v>28916</v>
      </c>
      <c r="G312" s="1" t="s">
        <v>74</v>
      </c>
      <c r="H312" s="1" t="s">
        <v>112</v>
      </c>
      <c r="I312" s="1" t="s">
        <v>1</v>
      </c>
      <c r="J312" s="1">
        <v>3</v>
      </c>
      <c r="K312" s="1">
        <f>J312*(IF(I312=ProdFam[[#Headers],[Test]],(VLOOKUP(Data[[#This Row],[Product Family]],ProdFam[],3,FALSE)),(VLOOKUP(Data[[#This Row],[Product Family]],ProdFam[],2,FALSE))))</f>
        <v>30</v>
      </c>
      <c r="L312" s="1">
        <v>30</v>
      </c>
      <c r="M312" s="1">
        <v>3</v>
      </c>
      <c r="N312" s="7">
        <f>IFERROR(Data[[#This Row],[Actual Time]]/Data[[#This Row],[QTY Complete]],"")</f>
        <v>10</v>
      </c>
      <c r="O312" s="7">
        <f>IF(I312=ProdFam[[#Headers],[Test]],(VLOOKUP(Data[[#This Row],[Product Family]],ProdFam[],3,FALSE)),(VLOOKUP(Data[[#This Row],[Product Family]],ProdFam[],2,FALSE)))</f>
        <v>10</v>
      </c>
    </row>
    <row r="313" spans="2:15" x14ac:dyDescent="0.25">
      <c r="B313" s="1">
        <f>WEEKNUM(Data[[#This Row],[Date]],1)</f>
        <v>45</v>
      </c>
      <c r="C313" s="15">
        <f>YEAR(Data[[#This Row],[Date]])</f>
        <v>2019</v>
      </c>
      <c r="D313" s="5">
        <v>43774</v>
      </c>
      <c r="E313" s="1" t="s">
        <v>117</v>
      </c>
      <c r="F313" s="1">
        <v>28725</v>
      </c>
      <c r="G313" s="1" t="s">
        <v>26</v>
      </c>
      <c r="H313" s="1" t="s">
        <v>113</v>
      </c>
      <c r="I313" s="1" t="s">
        <v>1</v>
      </c>
      <c r="J313" s="1">
        <v>4</v>
      </c>
      <c r="K313" s="1">
        <f>J313*(IF(I313=ProdFam[[#Headers],[Test]],(VLOOKUP(Data[[#This Row],[Product Family]],ProdFam[],3,FALSE)),(VLOOKUP(Data[[#This Row],[Product Family]],ProdFam[],2,FALSE))))</f>
        <v>128</v>
      </c>
      <c r="L313" s="1">
        <v>60</v>
      </c>
      <c r="M313" s="1">
        <v>3</v>
      </c>
      <c r="N313" s="7">
        <f>IFERROR(Data[[#This Row],[Actual Time]]/Data[[#This Row],[QTY Complete]],"")</f>
        <v>20</v>
      </c>
      <c r="O313" s="7">
        <f>IF(I313=ProdFam[[#Headers],[Test]],(VLOOKUP(Data[[#This Row],[Product Family]],ProdFam[],3,FALSE)),(VLOOKUP(Data[[#This Row],[Product Family]],ProdFam[],2,FALSE)))</f>
        <v>32</v>
      </c>
    </row>
    <row r="314" spans="2:15" x14ac:dyDescent="0.25">
      <c r="B314" s="1">
        <f>WEEKNUM(Data[[#This Row],[Date]],1)</f>
        <v>45</v>
      </c>
      <c r="C314" s="15">
        <f>YEAR(Data[[#This Row],[Date]])</f>
        <v>2019</v>
      </c>
      <c r="D314" s="5">
        <v>43774</v>
      </c>
      <c r="E314" s="1" t="s">
        <v>117</v>
      </c>
      <c r="F314" s="1">
        <v>28945</v>
      </c>
      <c r="G314" s="1" t="s">
        <v>16</v>
      </c>
      <c r="H314" s="1" t="s">
        <v>113</v>
      </c>
      <c r="I314" s="1" t="s">
        <v>1</v>
      </c>
      <c r="J314" s="1">
        <v>2</v>
      </c>
      <c r="K314" s="1">
        <f>J314*(IF(I314=ProdFam[[#Headers],[Test]],(VLOOKUP(Data[[#This Row],[Product Family]],ProdFam[],3,FALSE)),(VLOOKUP(Data[[#This Row],[Product Family]],ProdFam[],2,FALSE))))</f>
        <v>64</v>
      </c>
      <c r="L314" s="1">
        <v>55</v>
      </c>
      <c r="M314" s="1">
        <v>1</v>
      </c>
      <c r="N314" s="7">
        <f>IFERROR(Data[[#This Row],[Actual Time]]/Data[[#This Row],[QTY Complete]],"")</f>
        <v>55</v>
      </c>
      <c r="O314" s="7">
        <f>IF(I314=ProdFam[[#Headers],[Test]],(VLOOKUP(Data[[#This Row],[Product Family]],ProdFam[],3,FALSE)),(VLOOKUP(Data[[#This Row],[Product Family]],ProdFam[],2,FALSE)))</f>
        <v>32</v>
      </c>
    </row>
    <row r="315" spans="2:15" x14ac:dyDescent="0.25">
      <c r="B315" s="1">
        <f>WEEKNUM(Data[[#This Row],[Date]],1)</f>
        <v>45</v>
      </c>
      <c r="C315" s="15">
        <f>YEAR(Data[[#This Row],[Date]])</f>
        <v>2019</v>
      </c>
      <c r="D315" s="5">
        <v>43774</v>
      </c>
      <c r="E315" s="1" t="s">
        <v>117</v>
      </c>
      <c r="F315" s="1">
        <v>28942</v>
      </c>
      <c r="G315" s="1" t="s">
        <v>27</v>
      </c>
      <c r="H315" s="1" t="s">
        <v>113</v>
      </c>
      <c r="I315" s="1" t="s">
        <v>1</v>
      </c>
      <c r="J315" s="1">
        <v>1</v>
      </c>
      <c r="K315" s="1">
        <f>J315*(IF(I315=ProdFam[[#Headers],[Test]],(VLOOKUP(Data[[#This Row],[Product Family]],ProdFam[],3,FALSE)),(VLOOKUP(Data[[#This Row],[Product Family]],ProdFam[],2,FALSE))))</f>
        <v>32</v>
      </c>
      <c r="L315" s="1">
        <v>23</v>
      </c>
      <c r="M315" s="1">
        <v>1</v>
      </c>
      <c r="N315" s="7">
        <f>IFERROR(Data[[#This Row],[Actual Time]]/Data[[#This Row],[QTY Complete]],"")</f>
        <v>23</v>
      </c>
      <c r="O315" s="7">
        <f>IF(I315=ProdFam[[#Headers],[Test]],(VLOOKUP(Data[[#This Row],[Product Family]],ProdFam[],3,FALSE)),(VLOOKUP(Data[[#This Row],[Product Family]],ProdFam[],2,FALSE)))</f>
        <v>32</v>
      </c>
    </row>
    <row r="316" spans="2:15" x14ac:dyDescent="0.25">
      <c r="B316" s="1">
        <f>WEEKNUM(Data[[#This Row],[Date]],1)</f>
        <v>45</v>
      </c>
      <c r="C316" s="15">
        <f>YEAR(Data[[#This Row],[Date]])</f>
        <v>2019</v>
      </c>
      <c r="D316" s="5">
        <v>43774</v>
      </c>
      <c r="E316" s="1" t="s">
        <v>117</v>
      </c>
      <c r="F316" s="1">
        <v>28879</v>
      </c>
      <c r="G316" s="1" t="s">
        <v>44</v>
      </c>
      <c r="H316" s="1" t="s">
        <v>113</v>
      </c>
      <c r="I316" s="1" t="s">
        <v>1</v>
      </c>
      <c r="J316" s="1">
        <v>3</v>
      </c>
      <c r="K316" s="1">
        <f>J316*(IF(I316=ProdFam[[#Headers],[Test]],(VLOOKUP(Data[[#This Row],[Product Family]],ProdFam[],3,FALSE)),(VLOOKUP(Data[[#This Row],[Product Family]],ProdFam[],2,FALSE))))</f>
        <v>96</v>
      </c>
      <c r="L316" s="1">
        <v>25</v>
      </c>
      <c r="M316" s="1">
        <v>0</v>
      </c>
      <c r="N316" s="7" t="str">
        <f>IFERROR(Data[[#This Row],[Actual Time]]/Data[[#This Row],[QTY Complete]],"")</f>
        <v/>
      </c>
      <c r="O316" s="7">
        <f>IF(I316=ProdFam[[#Headers],[Test]],(VLOOKUP(Data[[#This Row],[Product Family]],ProdFam[],3,FALSE)),(VLOOKUP(Data[[#This Row],[Product Family]],ProdFam[],2,FALSE)))</f>
        <v>32</v>
      </c>
    </row>
    <row r="317" spans="2:15" x14ac:dyDescent="0.25">
      <c r="B317" s="1">
        <f>WEEKNUM(Data[[#This Row],[Date]],1)</f>
        <v>45</v>
      </c>
      <c r="C317" s="15">
        <f>YEAR(Data[[#This Row],[Date]])</f>
        <v>2019</v>
      </c>
      <c r="D317" s="5">
        <v>43774</v>
      </c>
      <c r="E317" s="1" t="s">
        <v>117</v>
      </c>
      <c r="F317" s="1">
        <v>28894</v>
      </c>
      <c r="G317" s="1" t="s">
        <v>50</v>
      </c>
      <c r="H317" s="1" t="s">
        <v>113</v>
      </c>
      <c r="I317" s="1" t="s">
        <v>1</v>
      </c>
      <c r="J317" s="1">
        <v>5</v>
      </c>
      <c r="K317" s="1">
        <f>J317*(IF(I317=ProdFam[[#Headers],[Test]],(VLOOKUP(Data[[#This Row],[Product Family]],ProdFam[],3,FALSE)),(VLOOKUP(Data[[#This Row],[Product Family]],ProdFam[],2,FALSE))))</f>
        <v>160</v>
      </c>
      <c r="L317" s="1">
        <v>65</v>
      </c>
      <c r="M317" s="1">
        <v>0</v>
      </c>
      <c r="N317" s="7" t="str">
        <f>IFERROR(Data[[#This Row],[Actual Time]]/Data[[#This Row],[QTY Complete]],"")</f>
        <v/>
      </c>
      <c r="O317" s="7">
        <f>IF(I317=ProdFam[[#Headers],[Test]],(VLOOKUP(Data[[#This Row],[Product Family]],ProdFam[],3,FALSE)),(VLOOKUP(Data[[#This Row],[Product Family]],ProdFam[],2,FALSE)))</f>
        <v>32</v>
      </c>
    </row>
    <row r="318" spans="2:15" x14ac:dyDescent="0.25">
      <c r="B318" s="1">
        <f>WEEKNUM(Data[[#This Row],[Date]],1)</f>
        <v>45</v>
      </c>
      <c r="C318" s="15">
        <f>YEAR(Data[[#This Row],[Date]])</f>
        <v>2019</v>
      </c>
      <c r="D318" s="5">
        <v>43775</v>
      </c>
      <c r="E318" s="1" t="s">
        <v>117</v>
      </c>
      <c r="F318" s="1">
        <v>28967</v>
      </c>
      <c r="G318" s="1" t="s">
        <v>70</v>
      </c>
      <c r="H318" s="1" t="s">
        <v>115</v>
      </c>
      <c r="I318" s="1" t="s">
        <v>1</v>
      </c>
      <c r="J318" s="1">
        <v>3</v>
      </c>
      <c r="K318" s="1">
        <f>J318*(IF(I318=ProdFam[[#Headers],[Test]],(VLOOKUP(Data[[#This Row],[Product Family]],ProdFam[],3,FALSE)),(VLOOKUP(Data[[#This Row],[Product Family]],ProdFam[],2,FALSE))))</f>
        <v>72</v>
      </c>
      <c r="L318" s="1">
        <v>120</v>
      </c>
      <c r="M318" s="1">
        <v>3</v>
      </c>
      <c r="N318" s="7">
        <f>IFERROR(Data[[#This Row],[Actual Time]]/Data[[#This Row],[QTY Complete]],"")</f>
        <v>40</v>
      </c>
      <c r="O318" s="7">
        <f>IF(I318=ProdFam[[#Headers],[Test]],(VLOOKUP(Data[[#This Row],[Product Family]],ProdFam[],3,FALSE)),(VLOOKUP(Data[[#This Row],[Product Family]],ProdFam[],2,FALSE)))</f>
        <v>24</v>
      </c>
    </row>
    <row r="319" spans="2:15" x14ac:dyDescent="0.25">
      <c r="B319" s="1">
        <f>WEEKNUM(Data[[#This Row],[Date]],1)</f>
        <v>45</v>
      </c>
      <c r="C319" s="15">
        <f>YEAR(Data[[#This Row],[Date]])</f>
        <v>2019</v>
      </c>
      <c r="D319" s="5">
        <v>43775</v>
      </c>
      <c r="E319" s="1" t="s">
        <v>117</v>
      </c>
      <c r="F319" s="1">
        <v>28879</v>
      </c>
      <c r="G319" s="1" t="s">
        <v>44</v>
      </c>
      <c r="H319" s="1" t="s">
        <v>113</v>
      </c>
      <c r="I319" s="1" t="s">
        <v>1</v>
      </c>
      <c r="J319" s="1">
        <v>3</v>
      </c>
      <c r="K319" s="1">
        <f>J319*(IF(I319=ProdFam[[#Headers],[Test]],(VLOOKUP(Data[[#This Row],[Product Family]],ProdFam[],3,FALSE)),(VLOOKUP(Data[[#This Row],[Product Family]],ProdFam[],2,FALSE))))</f>
        <v>96</v>
      </c>
      <c r="L319" s="1">
        <v>25</v>
      </c>
      <c r="M319" s="1">
        <v>3</v>
      </c>
      <c r="N319" s="7">
        <f>IFERROR(Data[[#This Row],[Actual Time]]/Data[[#This Row],[QTY Complete]],"")</f>
        <v>8.3333333333333339</v>
      </c>
      <c r="O319" s="7">
        <f>IF(I319=ProdFam[[#Headers],[Test]],(VLOOKUP(Data[[#This Row],[Product Family]],ProdFam[],3,FALSE)),(VLOOKUP(Data[[#This Row],[Product Family]],ProdFam[],2,FALSE)))</f>
        <v>32</v>
      </c>
    </row>
    <row r="320" spans="2:15" x14ac:dyDescent="0.25">
      <c r="B320" s="1">
        <f>WEEKNUM(Data[[#This Row],[Date]],1)</f>
        <v>45</v>
      </c>
      <c r="C320" s="15">
        <f>YEAR(Data[[#This Row],[Date]])</f>
        <v>2019</v>
      </c>
      <c r="D320" s="5">
        <v>43775</v>
      </c>
      <c r="E320" s="1" t="s">
        <v>117</v>
      </c>
      <c r="F320" s="1">
        <v>28894</v>
      </c>
      <c r="G320" s="1" t="s">
        <v>50</v>
      </c>
      <c r="H320" s="1" t="s">
        <v>113</v>
      </c>
      <c r="I320" s="1" t="s">
        <v>1</v>
      </c>
      <c r="J320" s="1">
        <v>5</v>
      </c>
      <c r="K320" s="1">
        <f>J320*(IF(I320=ProdFam[[#Headers],[Test]],(VLOOKUP(Data[[#This Row],[Product Family]],ProdFam[],3,FALSE)),(VLOOKUP(Data[[#This Row],[Product Family]],ProdFam[],2,FALSE))))</f>
        <v>160</v>
      </c>
      <c r="L320" s="1">
        <v>45</v>
      </c>
      <c r="M320" s="1">
        <v>4</v>
      </c>
      <c r="N320" s="7">
        <f>IFERROR(Data[[#This Row],[Actual Time]]/Data[[#This Row],[QTY Complete]],"")</f>
        <v>11.25</v>
      </c>
      <c r="O320" s="7">
        <f>IF(I320=ProdFam[[#Headers],[Test]],(VLOOKUP(Data[[#This Row],[Product Family]],ProdFam[],3,FALSE)),(VLOOKUP(Data[[#This Row],[Product Family]],ProdFam[],2,FALSE)))</f>
        <v>32</v>
      </c>
    </row>
    <row r="321" spans="2:15" x14ac:dyDescent="0.25">
      <c r="B321" s="1">
        <f>WEEKNUM(Data[[#This Row],[Date]],1)</f>
        <v>45</v>
      </c>
      <c r="C321" s="15">
        <f>YEAR(Data[[#This Row],[Date]])</f>
        <v>2019</v>
      </c>
      <c r="D321" s="5">
        <v>43776</v>
      </c>
      <c r="E321" s="1" t="s">
        <v>117</v>
      </c>
      <c r="F321" s="1">
        <v>28810</v>
      </c>
      <c r="G321" s="1" t="s">
        <v>70</v>
      </c>
      <c r="H321" s="1" t="s">
        <v>115</v>
      </c>
      <c r="I321" s="1" t="s">
        <v>1</v>
      </c>
      <c r="J321" s="1">
        <v>5</v>
      </c>
      <c r="K321" s="1">
        <f>J321*(IF(I321=ProdFam[[#Headers],[Test]],(VLOOKUP(Data[[#This Row],[Product Family]],ProdFam[],3,FALSE)),(VLOOKUP(Data[[#This Row],[Product Family]],ProdFam[],2,FALSE))))</f>
        <v>120</v>
      </c>
      <c r="L321" s="1">
        <v>150</v>
      </c>
      <c r="M321" s="1">
        <v>5</v>
      </c>
      <c r="N321" s="7">
        <f>IFERROR(Data[[#This Row],[Actual Time]]/Data[[#This Row],[QTY Complete]],"")</f>
        <v>30</v>
      </c>
      <c r="O321" s="7">
        <f>IF(I321=ProdFam[[#Headers],[Test]],(VLOOKUP(Data[[#This Row],[Product Family]],ProdFam[],3,FALSE)),(VLOOKUP(Data[[#This Row],[Product Family]],ProdFam[],2,FALSE)))</f>
        <v>24</v>
      </c>
    </row>
    <row r="322" spans="2:15" x14ac:dyDescent="0.25">
      <c r="B322" s="1">
        <f>WEEKNUM(Data[[#This Row],[Date]],1)</f>
        <v>45</v>
      </c>
      <c r="C322" s="15">
        <f>YEAR(Data[[#This Row],[Date]])</f>
        <v>2019</v>
      </c>
      <c r="D322" s="5">
        <v>43776</v>
      </c>
      <c r="E322" s="1" t="s">
        <v>117</v>
      </c>
      <c r="F322" s="1">
        <v>28983</v>
      </c>
      <c r="G322" s="1" t="s">
        <v>25</v>
      </c>
      <c r="H322" s="1" t="s">
        <v>113</v>
      </c>
      <c r="I322" s="1" t="s">
        <v>1</v>
      </c>
      <c r="J322" s="1">
        <v>10</v>
      </c>
      <c r="K322" s="1">
        <f>J322*(IF(I322=ProdFam[[#Headers],[Test]],(VLOOKUP(Data[[#This Row],[Product Family]],ProdFam[],3,FALSE)),(VLOOKUP(Data[[#This Row],[Product Family]],ProdFam[],2,FALSE))))</f>
        <v>320</v>
      </c>
      <c r="L322" s="1">
        <v>200</v>
      </c>
      <c r="M322" s="1">
        <v>8</v>
      </c>
      <c r="N322" s="7">
        <f>IFERROR(Data[[#This Row],[Actual Time]]/Data[[#This Row],[QTY Complete]],"")</f>
        <v>25</v>
      </c>
      <c r="O322" s="7">
        <f>IF(I322=ProdFam[[#Headers],[Test]],(VLOOKUP(Data[[#This Row],[Product Family]],ProdFam[],3,FALSE)),(VLOOKUP(Data[[#This Row],[Product Family]],ProdFam[],2,FALSE)))</f>
        <v>32</v>
      </c>
    </row>
    <row r="323" spans="2:15" x14ac:dyDescent="0.25">
      <c r="B323" s="1">
        <f>WEEKNUM(Data[[#This Row],[Date]],1)</f>
        <v>45</v>
      </c>
      <c r="C323" s="15">
        <f>YEAR(Data[[#This Row],[Date]])</f>
        <v>2019</v>
      </c>
      <c r="D323" s="5">
        <v>43776</v>
      </c>
      <c r="E323" s="1" t="s">
        <v>119</v>
      </c>
      <c r="F323" s="1">
        <v>28959</v>
      </c>
      <c r="G323" s="1" t="s">
        <v>25</v>
      </c>
      <c r="H323" s="1" t="s">
        <v>113</v>
      </c>
      <c r="I323" s="1" t="s">
        <v>1</v>
      </c>
      <c r="J323" s="1">
        <v>10</v>
      </c>
      <c r="K323" s="1">
        <f>J323*(IF(I323=ProdFam[[#Headers],[Test]],(VLOOKUP(Data[[#This Row],[Product Family]],ProdFam[],3,FALSE)),(VLOOKUP(Data[[#This Row],[Product Family]],ProdFam[],2,FALSE))))</f>
        <v>320</v>
      </c>
      <c r="L323" s="1">
        <v>170</v>
      </c>
      <c r="M323" s="1">
        <v>10</v>
      </c>
      <c r="N323" s="7">
        <f>IFERROR(Data[[#This Row],[Actual Time]]/Data[[#This Row],[QTY Complete]],"")</f>
        <v>17</v>
      </c>
      <c r="O323" s="7">
        <f>IF(I323=ProdFam[[#Headers],[Test]],(VLOOKUP(Data[[#This Row],[Product Family]],ProdFam[],3,FALSE)),(VLOOKUP(Data[[#This Row],[Product Family]],ProdFam[],2,FALSE)))</f>
        <v>32</v>
      </c>
    </row>
    <row r="324" spans="2:15" x14ac:dyDescent="0.25">
      <c r="B324" s="1">
        <f>WEEKNUM(Data[[#This Row],[Date]],1)</f>
        <v>45</v>
      </c>
      <c r="C324" s="15">
        <f>YEAR(Data[[#This Row],[Date]])</f>
        <v>2019</v>
      </c>
      <c r="D324" s="5">
        <v>43776</v>
      </c>
      <c r="E324" s="1" t="s">
        <v>119</v>
      </c>
      <c r="F324" s="1">
        <v>28125</v>
      </c>
      <c r="G324" s="1" t="s">
        <v>63</v>
      </c>
      <c r="H324" s="1" t="s">
        <v>115</v>
      </c>
      <c r="I324" s="1" t="s">
        <v>1</v>
      </c>
      <c r="J324" s="1">
        <v>50</v>
      </c>
      <c r="K324" s="1">
        <f>J324*(IF(I324=ProdFam[[#Headers],[Test]],(VLOOKUP(Data[[#This Row],[Product Family]],ProdFam[],3,FALSE)),(VLOOKUP(Data[[#This Row],[Product Family]],ProdFam[],2,FALSE))))</f>
        <v>1200</v>
      </c>
      <c r="L324" s="1">
        <v>265</v>
      </c>
      <c r="M324" s="1">
        <v>50</v>
      </c>
      <c r="N324" s="7">
        <f>IFERROR(Data[[#This Row],[Actual Time]]/Data[[#This Row],[QTY Complete]],"")</f>
        <v>5.3</v>
      </c>
      <c r="O324" s="7">
        <f>IF(I324=ProdFam[[#Headers],[Test]],(VLOOKUP(Data[[#This Row],[Product Family]],ProdFam[],3,FALSE)),(VLOOKUP(Data[[#This Row],[Product Family]],ProdFam[],2,FALSE)))</f>
        <v>24</v>
      </c>
    </row>
    <row r="325" spans="2:15" x14ac:dyDescent="0.25">
      <c r="B325" s="1">
        <f>WEEKNUM(Data[[#This Row],[Date]],1)</f>
        <v>45</v>
      </c>
      <c r="C325" s="15">
        <f>YEAR(Data[[#This Row],[Date]])</f>
        <v>2019</v>
      </c>
      <c r="D325" s="5">
        <v>43775</v>
      </c>
      <c r="E325" s="1" t="s">
        <v>119</v>
      </c>
      <c r="F325" s="1">
        <v>28982</v>
      </c>
      <c r="G325" s="1" t="s">
        <v>63</v>
      </c>
      <c r="H325" s="1" t="s">
        <v>115</v>
      </c>
      <c r="I325" s="1" t="s">
        <v>1</v>
      </c>
      <c r="J325" s="1">
        <v>25</v>
      </c>
      <c r="K325" s="1">
        <f>J325*(IF(I325=ProdFam[[#Headers],[Test]],(VLOOKUP(Data[[#This Row],[Product Family]],ProdFam[],3,FALSE)),(VLOOKUP(Data[[#This Row],[Product Family]],ProdFam[],2,FALSE))))</f>
        <v>600</v>
      </c>
      <c r="L325" s="1">
        <v>80</v>
      </c>
      <c r="M325" s="1">
        <v>25</v>
      </c>
      <c r="N325" s="7">
        <f>IFERROR(Data[[#This Row],[Actual Time]]/Data[[#This Row],[QTY Complete]],"")</f>
        <v>3.2</v>
      </c>
      <c r="O325" s="7">
        <f>IF(I325=ProdFam[[#Headers],[Test]],(VLOOKUP(Data[[#This Row],[Product Family]],ProdFam[],3,FALSE)),(VLOOKUP(Data[[#This Row],[Product Family]],ProdFam[],2,FALSE)))</f>
        <v>24</v>
      </c>
    </row>
    <row r="326" spans="2:15" x14ac:dyDescent="0.25">
      <c r="B326" s="1">
        <f>WEEKNUM(Data[[#This Row],[Date]],1)</f>
        <v>45</v>
      </c>
      <c r="C326" s="15">
        <f>YEAR(Data[[#This Row],[Date]])</f>
        <v>2019</v>
      </c>
      <c r="D326" s="5">
        <v>43775</v>
      </c>
      <c r="E326" s="1" t="s">
        <v>119</v>
      </c>
      <c r="F326" s="1">
        <v>28969</v>
      </c>
      <c r="G326" s="1" t="s">
        <v>42</v>
      </c>
      <c r="H326" s="1" t="s">
        <v>112</v>
      </c>
      <c r="I326" s="1" t="s">
        <v>1</v>
      </c>
      <c r="J326" s="1">
        <v>3</v>
      </c>
      <c r="K326" s="1">
        <f>J326*(IF(I326=ProdFam[[#Headers],[Test]],(VLOOKUP(Data[[#This Row],[Product Family]],ProdFam[],3,FALSE)),(VLOOKUP(Data[[#This Row],[Product Family]],ProdFam[],2,FALSE))))</f>
        <v>30</v>
      </c>
      <c r="L326" s="1">
        <v>25</v>
      </c>
      <c r="M326" s="1">
        <v>3</v>
      </c>
      <c r="N326" s="7">
        <f>IFERROR(Data[[#This Row],[Actual Time]]/Data[[#This Row],[QTY Complete]],"")</f>
        <v>8.3333333333333339</v>
      </c>
      <c r="O326" s="7">
        <f>IF(I326=ProdFam[[#Headers],[Test]],(VLOOKUP(Data[[#This Row],[Product Family]],ProdFam[],3,FALSE)),(VLOOKUP(Data[[#This Row],[Product Family]],ProdFam[],2,FALSE)))</f>
        <v>10</v>
      </c>
    </row>
    <row r="327" spans="2:15" x14ac:dyDescent="0.25">
      <c r="B327" s="1">
        <f>WEEKNUM(Data[[#This Row],[Date]],1)</f>
        <v>45</v>
      </c>
      <c r="C327" s="15">
        <f>YEAR(Data[[#This Row],[Date]])</f>
        <v>2019</v>
      </c>
      <c r="D327" s="5">
        <v>43775</v>
      </c>
      <c r="E327" s="1" t="s">
        <v>119</v>
      </c>
      <c r="F327" s="1">
        <v>29078</v>
      </c>
      <c r="G327" s="1" t="s">
        <v>75</v>
      </c>
      <c r="H327" s="1" t="s">
        <v>112</v>
      </c>
      <c r="I327" s="1" t="s">
        <v>1</v>
      </c>
      <c r="J327" s="1">
        <v>6</v>
      </c>
      <c r="K327" s="1">
        <f>J327*(IF(I327=ProdFam[[#Headers],[Test]],(VLOOKUP(Data[[#This Row],[Product Family]],ProdFam[],3,FALSE)),(VLOOKUP(Data[[#This Row],[Product Family]],ProdFam[],2,FALSE))))</f>
        <v>60</v>
      </c>
      <c r="L327" s="1">
        <v>10</v>
      </c>
      <c r="M327" s="1">
        <v>6</v>
      </c>
      <c r="N327" s="7">
        <f>IFERROR(Data[[#This Row],[Actual Time]]/Data[[#This Row],[QTY Complete]],"")</f>
        <v>1.6666666666666667</v>
      </c>
      <c r="O327" s="7">
        <f>IF(I327=ProdFam[[#Headers],[Test]],(VLOOKUP(Data[[#This Row],[Product Family]],ProdFam[],3,FALSE)),(VLOOKUP(Data[[#This Row],[Product Family]],ProdFam[],2,FALSE)))</f>
        <v>10</v>
      </c>
    </row>
    <row r="328" spans="2:15" x14ac:dyDescent="0.25">
      <c r="B328" s="1">
        <f>WEEKNUM(Data[[#This Row],[Date]],1)</f>
        <v>45</v>
      </c>
      <c r="C328" s="15">
        <f>YEAR(Data[[#This Row],[Date]])</f>
        <v>2019</v>
      </c>
      <c r="D328" s="5">
        <v>43775</v>
      </c>
      <c r="E328" s="1" t="s">
        <v>119</v>
      </c>
      <c r="F328" s="1">
        <v>28952</v>
      </c>
      <c r="G328" s="1" t="s">
        <v>58</v>
      </c>
      <c r="H328" s="1" t="s">
        <v>112</v>
      </c>
      <c r="I328" s="1" t="s">
        <v>1</v>
      </c>
      <c r="J328" s="1">
        <v>12</v>
      </c>
      <c r="K328" s="1">
        <f>J328*(IF(I328=ProdFam[[#Headers],[Test]],(VLOOKUP(Data[[#This Row],[Product Family]],ProdFam[],3,FALSE)),(VLOOKUP(Data[[#This Row],[Product Family]],ProdFam[],2,FALSE))))</f>
        <v>120</v>
      </c>
      <c r="L328" s="1">
        <v>65</v>
      </c>
      <c r="M328" s="1">
        <v>12</v>
      </c>
      <c r="N328" s="7">
        <f>IFERROR(Data[[#This Row],[Actual Time]]/Data[[#This Row],[QTY Complete]],"")</f>
        <v>5.416666666666667</v>
      </c>
      <c r="O328" s="7">
        <f>IF(I328=ProdFam[[#Headers],[Test]],(VLOOKUP(Data[[#This Row],[Product Family]],ProdFam[],3,FALSE)),(VLOOKUP(Data[[#This Row],[Product Family]],ProdFam[],2,FALSE)))</f>
        <v>10</v>
      </c>
    </row>
    <row r="329" spans="2:15" x14ac:dyDescent="0.25">
      <c r="B329" s="1">
        <f>WEEKNUM(Data[[#This Row],[Date]],1)</f>
        <v>45</v>
      </c>
      <c r="C329" s="15">
        <f>YEAR(Data[[#This Row],[Date]])</f>
        <v>2019</v>
      </c>
      <c r="D329" s="5">
        <v>43775</v>
      </c>
      <c r="E329" s="1" t="s">
        <v>119</v>
      </c>
      <c r="F329" s="1">
        <v>28901</v>
      </c>
      <c r="G329" s="1" t="s">
        <v>59</v>
      </c>
      <c r="H329" s="1" t="s">
        <v>113</v>
      </c>
      <c r="I329" s="1" t="s">
        <v>1</v>
      </c>
      <c r="J329" s="1">
        <v>6</v>
      </c>
      <c r="K329" s="1">
        <f>J329*(IF(I329=ProdFam[[#Headers],[Test]],(VLOOKUP(Data[[#This Row],[Product Family]],ProdFam[],3,FALSE)),(VLOOKUP(Data[[#This Row],[Product Family]],ProdFam[],2,FALSE))))</f>
        <v>192</v>
      </c>
      <c r="L329" s="1">
        <v>185</v>
      </c>
      <c r="M329" s="1">
        <v>6</v>
      </c>
      <c r="N329" s="7">
        <f>IFERROR(Data[[#This Row],[Actual Time]]/Data[[#This Row],[QTY Complete]],"")</f>
        <v>30.833333333333332</v>
      </c>
      <c r="O329" s="7">
        <f>IF(I329=ProdFam[[#Headers],[Test]],(VLOOKUP(Data[[#This Row],[Product Family]],ProdFam[],3,FALSE)),(VLOOKUP(Data[[#This Row],[Product Family]],ProdFam[],2,FALSE)))</f>
        <v>32</v>
      </c>
    </row>
    <row r="330" spans="2:15" x14ac:dyDescent="0.25">
      <c r="B330" s="1">
        <f>WEEKNUM(Data[[#This Row],[Date]],1)</f>
        <v>45</v>
      </c>
      <c r="C330" s="15">
        <f>YEAR(Data[[#This Row],[Date]])</f>
        <v>2019</v>
      </c>
      <c r="D330" s="5">
        <v>43775</v>
      </c>
      <c r="E330" s="1" t="s">
        <v>119</v>
      </c>
      <c r="F330" s="1">
        <v>28874</v>
      </c>
      <c r="G330" s="1" t="s">
        <v>11</v>
      </c>
      <c r="H330" s="1" t="s">
        <v>113</v>
      </c>
      <c r="I330" s="1" t="s">
        <v>1</v>
      </c>
      <c r="J330" s="1">
        <v>3</v>
      </c>
      <c r="K330" s="1">
        <f>J330*(IF(I330=ProdFam[[#Headers],[Test]],(VLOOKUP(Data[[#This Row],[Product Family]],ProdFam[],3,FALSE)),(VLOOKUP(Data[[#This Row],[Product Family]],ProdFam[],2,FALSE))))</f>
        <v>96</v>
      </c>
      <c r="L330" s="1">
        <v>40</v>
      </c>
      <c r="M330" s="1">
        <v>3</v>
      </c>
      <c r="N330" s="7">
        <f>IFERROR(Data[[#This Row],[Actual Time]]/Data[[#This Row],[QTY Complete]],"")</f>
        <v>13.333333333333334</v>
      </c>
      <c r="O330" s="7">
        <f>IF(I330=ProdFam[[#Headers],[Test]],(VLOOKUP(Data[[#This Row],[Product Family]],ProdFam[],3,FALSE)),(VLOOKUP(Data[[#This Row],[Product Family]],ProdFam[],2,FALSE)))</f>
        <v>32</v>
      </c>
    </row>
    <row r="331" spans="2:15" x14ac:dyDescent="0.25">
      <c r="B331" s="1">
        <f>WEEKNUM(Data[[#This Row],[Date]],1)</f>
        <v>45</v>
      </c>
      <c r="C331" s="15">
        <f>YEAR(Data[[#This Row],[Date]])</f>
        <v>2019</v>
      </c>
      <c r="D331" s="5">
        <v>43774</v>
      </c>
      <c r="E331" s="1" t="s">
        <v>119</v>
      </c>
      <c r="F331" s="1">
        <v>28982</v>
      </c>
      <c r="G331" s="1" t="s">
        <v>63</v>
      </c>
      <c r="H331" s="1" t="s">
        <v>115</v>
      </c>
      <c r="I331" s="1" t="s">
        <v>1</v>
      </c>
      <c r="J331" s="1">
        <v>50</v>
      </c>
      <c r="K331" s="1">
        <f>J331*(IF(I331=ProdFam[[#Headers],[Test]],(VLOOKUP(Data[[#This Row],[Product Family]],ProdFam[],3,FALSE)),(VLOOKUP(Data[[#This Row],[Product Family]],ProdFam[],2,FALSE))))</f>
        <v>1200</v>
      </c>
      <c r="L331" s="1">
        <v>500</v>
      </c>
      <c r="M331" s="1">
        <v>50</v>
      </c>
      <c r="N331" s="7">
        <f>IFERROR(Data[[#This Row],[Actual Time]]/Data[[#This Row],[QTY Complete]],"")</f>
        <v>10</v>
      </c>
      <c r="O331" s="7">
        <f>IF(I331=ProdFam[[#Headers],[Test]],(VLOOKUP(Data[[#This Row],[Product Family]],ProdFam[],3,FALSE)),(VLOOKUP(Data[[#This Row],[Product Family]],ProdFam[],2,FALSE)))</f>
        <v>24</v>
      </c>
    </row>
    <row r="332" spans="2:15" x14ac:dyDescent="0.25">
      <c r="B332" s="1">
        <f>WEEKNUM(Data[[#This Row],[Date]],1)</f>
        <v>45</v>
      </c>
      <c r="C332" s="15">
        <f>YEAR(Data[[#This Row],[Date]])</f>
        <v>2019</v>
      </c>
      <c r="D332" s="5">
        <v>43773</v>
      </c>
      <c r="E332" s="1" t="s">
        <v>119</v>
      </c>
      <c r="F332" s="1">
        <v>28904</v>
      </c>
      <c r="G332" s="1" t="s">
        <v>7</v>
      </c>
      <c r="H332" s="1" t="s">
        <v>115</v>
      </c>
      <c r="I332" s="1" t="s">
        <v>1</v>
      </c>
      <c r="J332" s="1">
        <v>3</v>
      </c>
      <c r="K332" s="1">
        <f>J332*(IF(I332=ProdFam[[#Headers],[Test]],(VLOOKUP(Data[[#This Row],[Product Family]],ProdFam[],3,FALSE)),(VLOOKUP(Data[[#This Row],[Product Family]],ProdFam[],2,FALSE))))</f>
        <v>72</v>
      </c>
      <c r="L332" s="1">
        <v>80</v>
      </c>
      <c r="M332" s="1">
        <v>3</v>
      </c>
      <c r="N332" s="7">
        <f>IFERROR(Data[[#This Row],[Actual Time]]/Data[[#This Row],[QTY Complete]],"")</f>
        <v>26.666666666666668</v>
      </c>
      <c r="O332" s="7">
        <f>IF(I332=ProdFam[[#Headers],[Test]],(VLOOKUP(Data[[#This Row],[Product Family]],ProdFam[],3,FALSE)),(VLOOKUP(Data[[#This Row],[Product Family]],ProdFam[],2,FALSE)))</f>
        <v>24</v>
      </c>
    </row>
    <row r="333" spans="2:15" x14ac:dyDescent="0.25">
      <c r="B333" s="1">
        <f>WEEKNUM(Data[[#This Row],[Date]],1)</f>
        <v>45</v>
      </c>
      <c r="C333" s="15">
        <f>YEAR(Data[[#This Row],[Date]])</f>
        <v>2019</v>
      </c>
      <c r="D333" s="5">
        <v>43773</v>
      </c>
      <c r="E333" s="1" t="s">
        <v>119</v>
      </c>
      <c r="F333" s="1">
        <v>28891</v>
      </c>
      <c r="G333" s="1" t="s">
        <v>76</v>
      </c>
      <c r="H333" s="1" t="s">
        <v>115</v>
      </c>
      <c r="I333" s="1" t="s">
        <v>1</v>
      </c>
      <c r="J333" s="1">
        <v>8</v>
      </c>
      <c r="K333" s="1">
        <f>J333*(IF(I333=ProdFam[[#Headers],[Test]],(VLOOKUP(Data[[#This Row],[Product Family]],ProdFam[],3,FALSE)),(VLOOKUP(Data[[#This Row],[Product Family]],ProdFam[],2,FALSE))))</f>
        <v>192</v>
      </c>
      <c r="L333" s="1">
        <v>150</v>
      </c>
      <c r="M333" s="1">
        <v>8</v>
      </c>
      <c r="N333" s="7">
        <f>IFERROR(Data[[#This Row],[Actual Time]]/Data[[#This Row],[QTY Complete]],"")</f>
        <v>18.75</v>
      </c>
      <c r="O333" s="7">
        <f>IF(I333=ProdFam[[#Headers],[Test]],(VLOOKUP(Data[[#This Row],[Product Family]],ProdFam[],3,FALSE)),(VLOOKUP(Data[[#This Row],[Product Family]],ProdFam[],2,FALSE)))</f>
        <v>24</v>
      </c>
    </row>
    <row r="334" spans="2:15" x14ac:dyDescent="0.25">
      <c r="B334" s="1">
        <f>WEEKNUM(Data[[#This Row],[Date]],1)</f>
        <v>45</v>
      </c>
      <c r="C334" s="15">
        <f>YEAR(Data[[#This Row],[Date]])</f>
        <v>2019</v>
      </c>
      <c r="D334" s="5">
        <v>43773</v>
      </c>
      <c r="E334" s="1" t="s">
        <v>119</v>
      </c>
      <c r="F334" s="1">
        <v>28903</v>
      </c>
      <c r="G334" s="1" t="s">
        <v>72</v>
      </c>
      <c r="H334" s="1" t="s">
        <v>115</v>
      </c>
      <c r="I334" s="1" t="s">
        <v>1</v>
      </c>
      <c r="J334" s="1">
        <v>6</v>
      </c>
      <c r="K334" s="1">
        <f>J334*(IF(I334=ProdFam[[#Headers],[Test]],(VLOOKUP(Data[[#This Row],[Product Family]],ProdFam[],3,FALSE)),(VLOOKUP(Data[[#This Row],[Product Family]],ProdFam[],2,FALSE))))</f>
        <v>144</v>
      </c>
      <c r="L334" s="1">
        <v>85</v>
      </c>
      <c r="M334" s="1">
        <v>6</v>
      </c>
      <c r="N334" s="7">
        <f>IFERROR(Data[[#This Row],[Actual Time]]/Data[[#This Row],[QTY Complete]],"")</f>
        <v>14.166666666666666</v>
      </c>
      <c r="O334" s="7">
        <f>IF(I334=ProdFam[[#Headers],[Test]],(VLOOKUP(Data[[#This Row],[Product Family]],ProdFam[],3,FALSE)),(VLOOKUP(Data[[#This Row],[Product Family]],ProdFam[],2,FALSE)))</f>
        <v>24</v>
      </c>
    </row>
    <row r="335" spans="2:15" x14ac:dyDescent="0.25">
      <c r="B335" s="1">
        <f>WEEKNUM(Data[[#This Row],[Date]],1)</f>
        <v>45</v>
      </c>
      <c r="C335" s="15">
        <f>YEAR(Data[[#This Row],[Date]])</f>
        <v>2019</v>
      </c>
      <c r="D335" s="5">
        <v>43773</v>
      </c>
      <c r="E335" s="1" t="s">
        <v>119</v>
      </c>
      <c r="F335" s="1">
        <v>28892</v>
      </c>
      <c r="G335" s="1" t="s">
        <v>18</v>
      </c>
      <c r="H335" s="1" t="s">
        <v>115</v>
      </c>
      <c r="I335" s="1" t="s">
        <v>1</v>
      </c>
      <c r="J335" s="1">
        <v>13</v>
      </c>
      <c r="K335" s="1">
        <f>J335*(IF(I335=ProdFam[[#Headers],[Test]],(VLOOKUP(Data[[#This Row],[Product Family]],ProdFam[],3,FALSE)),(VLOOKUP(Data[[#This Row],[Product Family]],ProdFam[],2,FALSE))))</f>
        <v>312</v>
      </c>
      <c r="L335" s="1">
        <v>195</v>
      </c>
      <c r="M335" s="1">
        <v>13</v>
      </c>
      <c r="N335" s="7">
        <f>IFERROR(Data[[#This Row],[Actual Time]]/Data[[#This Row],[QTY Complete]],"")</f>
        <v>15</v>
      </c>
      <c r="O335" s="7">
        <f>IF(I335=ProdFam[[#Headers],[Test]],(VLOOKUP(Data[[#This Row],[Product Family]],ProdFam[],3,FALSE)),(VLOOKUP(Data[[#This Row],[Product Family]],ProdFam[],2,FALSE)))</f>
        <v>24</v>
      </c>
    </row>
    <row r="336" spans="2:15" x14ac:dyDescent="0.25">
      <c r="B336" s="1">
        <f>WEEKNUM(Data[[#This Row],[Date]],1)</f>
        <v>44</v>
      </c>
      <c r="C336" s="15">
        <f>YEAR(Data[[#This Row],[Date]])</f>
        <v>2019</v>
      </c>
      <c r="D336" s="5">
        <v>43768</v>
      </c>
      <c r="E336" s="1" t="s">
        <v>117</v>
      </c>
      <c r="F336" s="1">
        <v>28855</v>
      </c>
      <c r="G336" s="1" t="s">
        <v>71</v>
      </c>
      <c r="H336" s="1" t="s">
        <v>115</v>
      </c>
      <c r="I336" s="1" t="s">
        <v>1</v>
      </c>
      <c r="J336" s="1">
        <v>3</v>
      </c>
      <c r="K336" s="1">
        <f>J336*(IF(I336=ProdFam[[#Headers],[Test]],(VLOOKUP(Data[[#This Row],[Product Family]],ProdFam[],3,FALSE)),(VLOOKUP(Data[[#This Row],[Product Family]],ProdFam[],2,FALSE))))</f>
        <v>72</v>
      </c>
      <c r="L336" s="1">
        <v>75</v>
      </c>
      <c r="M336" s="1">
        <v>3</v>
      </c>
      <c r="N336" s="7">
        <f>IFERROR(Data[[#This Row],[Actual Time]]/Data[[#This Row],[QTY Complete]],"")</f>
        <v>25</v>
      </c>
      <c r="O336" s="7">
        <f>IF(I336=ProdFam[[#Headers],[Test]],(VLOOKUP(Data[[#This Row],[Product Family]],ProdFam[],3,FALSE)),(VLOOKUP(Data[[#This Row],[Product Family]],ProdFam[],2,FALSE)))</f>
        <v>24</v>
      </c>
    </row>
    <row r="337" spans="2:15" x14ac:dyDescent="0.25">
      <c r="B337" s="1">
        <f>WEEKNUM(Data[[#This Row],[Date]],1)</f>
        <v>44</v>
      </c>
      <c r="C337" s="15">
        <f>YEAR(Data[[#This Row],[Date]])</f>
        <v>2019</v>
      </c>
      <c r="D337" s="5">
        <v>43768</v>
      </c>
      <c r="E337" s="1" t="s">
        <v>117</v>
      </c>
      <c r="F337" s="1">
        <v>28818</v>
      </c>
      <c r="G337" s="1" t="s">
        <v>8</v>
      </c>
      <c r="H337" s="1" t="s">
        <v>112</v>
      </c>
      <c r="I337" s="1" t="s">
        <v>1</v>
      </c>
      <c r="J337" s="1">
        <v>21</v>
      </c>
      <c r="K337" s="1">
        <f>J337*(IF(I337=ProdFam[[#Headers],[Test]],(VLOOKUP(Data[[#This Row],[Product Family]],ProdFam[],3,FALSE)),(VLOOKUP(Data[[#This Row],[Product Family]],ProdFam[],2,FALSE))))</f>
        <v>210</v>
      </c>
      <c r="L337" s="1">
        <v>60</v>
      </c>
      <c r="M337" s="1">
        <v>21</v>
      </c>
      <c r="N337" s="7">
        <f>IFERROR(Data[[#This Row],[Actual Time]]/Data[[#This Row],[QTY Complete]],"")</f>
        <v>2.8571428571428572</v>
      </c>
      <c r="O337" s="7">
        <f>IF(I337=ProdFam[[#Headers],[Test]],(VLOOKUP(Data[[#This Row],[Product Family]],ProdFam[],3,FALSE)),(VLOOKUP(Data[[#This Row],[Product Family]],ProdFam[],2,FALSE)))</f>
        <v>10</v>
      </c>
    </row>
    <row r="338" spans="2:15" x14ac:dyDescent="0.25">
      <c r="B338" s="1">
        <f>WEEKNUM(Data[[#This Row],[Date]],1)</f>
        <v>44</v>
      </c>
      <c r="C338" s="15">
        <f>YEAR(Data[[#This Row],[Date]])</f>
        <v>2019</v>
      </c>
      <c r="D338" s="5">
        <v>43768</v>
      </c>
      <c r="E338" s="1" t="s">
        <v>111</v>
      </c>
      <c r="F338" s="1">
        <v>28819</v>
      </c>
      <c r="G338" s="1" t="s">
        <v>48</v>
      </c>
      <c r="H338" s="1" t="s">
        <v>112</v>
      </c>
      <c r="I338" s="1" t="s">
        <v>1</v>
      </c>
      <c r="J338" s="1">
        <v>6</v>
      </c>
      <c r="K338" s="1">
        <f>J338*(IF(I338=ProdFam[[#Headers],[Test]],(VLOOKUP(Data[[#This Row],[Product Family]],ProdFam[],3,FALSE)),(VLOOKUP(Data[[#This Row],[Product Family]],ProdFam[],2,FALSE))))</f>
        <v>60</v>
      </c>
      <c r="L338" s="1">
        <v>60</v>
      </c>
      <c r="M338" s="1">
        <v>6</v>
      </c>
      <c r="N338" s="7">
        <f>IFERROR(Data[[#This Row],[Actual Time]]/Data[[#This Row],[QTY Complete]],"")</f>
        <v>10</v>
      </c>
      <c r="O338" s="7">
        <f>IF(I338=ProdFam[[#Headers],[Test]],(VLOOKUP(Data[[#This Row],[Product Family]],ProdFam[],3,FALSE)),(VLOOKUP(Data[[#This Row],[Product Family]],ProdFam[],2,FALSE)))</f>
        <v>10</v>
      </c>
    </row>
    <row r="339" spans="2:15" x14ac:dyDescent="0.25">
      <c r="B339" s="1">
        <f>WEEKNUM(Data[[#This Row],[Date]],1)</f>
        <v>44</v>
      </c>
      <c r="C339" s="15">
        <f>YEAR(Data[[#This Row],[Date]])</f>
        <v>2019</v>
      </c>
      <c r="D339" s="5">
        <v>43768</v>
      </c>
      <c r="E339" s="1" t="s">
        <v>111</v>
      </c>
      <c r="F339" s="1">
        <v>28724</v>
      </c>
      <c r="G339" s="1" t="s">
        <v>2</v>
      </c>
      <c r="H339" s="1" t="s">
        <v>112</v>
      </c>
      <c r="I339" s="1" t="s">
        <v>1</v>
      </c>
      <c r="J339" s="1">
        <v>9</v>
      </c>
      <c r="K339" s="1">
        <f>J339*(IF(I339=ProdFam[[#Headers],[Test]],(VLOOKUP(Data[[#This Row],[Product Family]],ProdFam[],3,FALSE)),(VLOOKUP(Data[[#This Row],[Product Family]],ProdFam[],2,FALSE))))</f>
        <v>90</v>
      </c>
      <c r="L339" s="1">
        <v>60</v>
      </c>
      <c r="M339" s="1">
        <v>9</v>
      </c>
      <c r="N339" s="7">
        <f>IFERROR(Data[[#This Row],[Actual Time]]/Data[[#This Row],[QTY Complete]],"")</f>
        <v>6.666666666666667</v>
      </c>
      <c r="O339" s="7">
        <f>IF(I339=ProdFam[[#Headers],[Test]],(VLOOKUP(Data[[#This Row],[Product Family]],ProdFam[],3,FALSE)),(VLOOKUP(Data[[#This Row],[Product Family]],ProdFam[],2,FALSE)))</f>
        <v>10</v>
      </c>
    </row>
    <row r="340" spans="2:15" x14ac:dyDescent="0.25">
      <c r="B340" s="1">
        <f>WEEKNUM(Data[[#This Row],[Date]],1)</f>
        <v>44</v>
      </c>
      <c r="C340" s="15">
        <f>YEAR(Data[[#This Row],[Date]])</f>
        <v>2019</v>
      </c>
      <c r="D340" s="5">
        <v>43768</v>
      </c>
      <c r="E340" s="1" t="s">
        <v>111</v>
      </c>
      <c r="F340" s="1">
        <v>28707</v>
      </c>
      <c r="G340" s="1" t="s">
        <v>25</v>
      </c>
      <c r="H340" s="1" t="s">
        <v>113</v>
      </c>
      <c r="I340" s="1" t="s">
        <v>1</v>
      </c>
      <c r="J340" s="1">
        <v>10</v>
      </c>
      <c r="K340" s="1">
        <f>J340*(IF(I340=ProdFam[[#Headers],[Test]],(VLOOKUP(Data[[#This Row],[Product Family]],ProdFam[],3,FALSE)),(VLOOKUP(Data[[#This Row],[Product Family]],ProdFam[],2,FALSE))))</f>
        <v>320</v>
      </c>
      <c r="L340" s="1">
        <v>240</v>
      </c>
      <c r="M340" s="1">
        <v>10</v>
      </c>
      <c r="N340" s="7">
        <f>IFERROR(Data[[#This Row],[Actual Time]]/Data[[#This Row],[QTY Complete]],"")</f>
        <v>24</v>
      </c>
      <c r="O340" s="7">
        <f>IF(I340=ProdFam[[#Headers],[Test]],(VLOOKUP(Data[[#This Row],[Product Family]],ProdFam[],3,FALSE)),(VLOOKUP(Data[[#This Row],[Product Family]],ProdFam[],2,FALSE)))</f>
        <v>32</v>
      </c>
    </row>
    <row r="341" spans="2:15" x14ac:dyDescent="0.25">
      <c r="B341" s="1">
        <f>WEEKNUM(Data[[#This Row],[Date]],1)</f>
        <v>44</v>
      </c>
      <c r="C341" s="15">
        <f>YEAR(Data[[#This Row],[Date]])</f>
        <v>2019</v>
      </c>
      <c r="D341" s="5">
        <v>43768</v>
      </c>
      <c r="E341" s="1" t="s">
        <v>118</v>
      </c>
      <c r="F341" s="1">
        <v>28809</v>
      </c>
      <c r="G341" s="1" t="s">
        <v>58</v>
      </c>
      <c r="H341" s="1" t="s">
        <v>112</v>
      </c>
      <c r="I341" s="1" t="s">
        <v>0</v>
      </c>
      <c r="J341" s="1">
        <v>12</v>
      </c>
      <c r="K341" s="1">
        <f>J341*(IF(I341=ProdFam[[#Headers],[Test]],(VLOOKUP(Data[[#This Row],[Product Family]],ProdFam[],3,FALSE)),(VLOOKUP(Data[[#This Row],[Product Family]],ProdFam[],2,FALSE))))</f>
        <v>120</v>
      </c>
      <c r="L341" s="1">
        <v>60</v>
      </c>
      <c r="M341" s="1">
        <v>12</v>
      </c>
      <c r="N341" s="7">
        <f>IFERROR(Data[[#This Row],[Actual Time]]/Data[[#This Row],[QTY Complete]],"")</f>
        <v>5</v>
      </c>
      <c r="O341" s="7">
        <f>IF(I341=ProdFam[[#Headers],[Test]],(VLOOKUP(Data[[#This Row],[Product Family]],ProdFam[],3,FALSE)),(VLOOKUP(Data[[#This Row],[Product Family]],ProdFam[],2,FALSE)))</f>
        <v>10</v>
      </c>
    </row>
    <row r="342" spans="2:15" x14ac:dyDescent="0.25">
      <c r="B342" s="1">
        <f>WEEKNUM(Data[[#This Row],[Date]],1)</f>
        <v>44</v>
      </c>
      <c r="C342" s="15">
        <f>YEAR(Data[[#This Row],[Date]])</f>
        <v>2019</v>
      </c>
      <c r="D342" s="5">
        <v>43768</v>
      </c>
      <c r="E342" s="1" t="s">
        <v>118</v>
      </c>
      <c r="F342" s="1">
        <v>28873</v>
      </c>
      <c r="G342" s="1" t="s">
        <v>69</v>
      </c>
      <c r="H342" s="1" t="s">
        <v>129</v>
      </c>
      <c r="I342" s="1" t="s">
        <v>0</v>
      </c>
      <c r="J342" s="1">
        <v>7</v>
      </c>
      <c r="K342" s="1">
        <f>J342*(IF(I342=ProdFam[[#Headers],[Test]],(VLOOKUP(Data[[#This Row],[Product Family]],ProdFam[],3,FALSE)),(VLOOKUP(Data[[#This Row],[Product Family]],ProdFam[],2,FALSE))))</f>
        <v>126</v>
      </c>
      <c r="L342" s="1">
        <v>275</v>
      </c>
      <c r="M342" s="1">
        <v>7</v>
      </c>
      <c r="N342" s="7">
        <f>IFERROR(Data[[#This Row],[Actual Time]]/Data[[#This Row],[QTY Complete]],"")</f>
        <v>39.285714285714285</v>
      </c>
      <c r="O342" s="7">
        <f>IF(I342=ProdFam[[#Headers],[Test]],(VLOOKUP(Data[[#This Row],[Product Family]],ProdFam[],3,FALSE)),(VLOOKUP(Data[[#This Row],[Product Family]],ProdFam[],2,FALSE)))</f>
        <v>18</v>
      </c>
    </row>
    <row r="343" spans="2:15" x14ac:dyDescent="0.25">
      <c r="B343" s="1">
        <f>WEEKNUM(Data[[#This Row],[Date]],1)</f>
        <v>44</v>
      </c>
      <c r="C343" s="15">
        <f>YEAR(Data[[#This Row],[Date]])</f>
        <v>2019</v>
      </c>
      <c r="D343" s="5">
        <v>43768</v>
      </c>
      <c r="E343" s="1" t="s">
        <v>118</v>
      </c>
      <c r="F343" s="1">
        <v>28895</v>
      </c>
      <c r="G343" s="1" t="s">
        <v>77</v>
      </c>
      <c r="H343" s="1" t="s">
        <v>115</v>
      </c>
      <c r="I343" s="1" t="s">
        <v>0</v>
      </c>
      <c r="J343" s="1">
        <v>13</v>
      </c>
      <c r="K343" s="1">
        <f>J343*(IF(I343=ProdFam[[#Headers],[Test]],(VLOOKUP(Data[[#This Row],[Product Family]],ProdFam[],3,FALSE)),(VLOOKUP(Data[[#This Row],[Product Family]],ProdFam[],2,FALSE))))</f>
        <v>104</v>
      </c>
      <c r="L343" s="1">
        <v>30</v>
      </c>
      <c r="M343" s="1">
        <v>13</v>
      </c>
      <c r="N343" s="7">
        <f>IFERROR(Data[[#This Row],[Actual Time]]/Data[[#This Row],[QTY Complete]],"")</f>
        <v>2.3076923076923075</v>
      </c>
      <c r="O343" s="7">
        <f>IF(I343=ProdFam[[#Headers],[Test]],(VLOOKUP(Data[[#This Row],[Product Family]],ProdFam[],3,FALSE)),(VLOOKUP(Data[[#This Row],[Product Family]],ProdFam[],2,FALSE)))</f>
        <v>8</v>
      </c>
    </row>
    <row r="344" spans="2:15" x14ac:dyDescent="0.25">
      <c r="B344" s="1">
        <f>WEEKNUM(Data[[#This Row],[Date]],1)</f>
        <v>44</v>
      </c>
      <c r="C344" s="15">
        <f>YEAR(Data[[#This Row],[Date]])</f>
        <v>2019</v>
      </c>
      <c r="D344" s="5">
        <v>43768</v>
      </c>
      <c r="E344" s="1" t="s">
        <v>122</v>
      </c>
      <c r="F344" s="1">
        <v>28727</v>
      </c>
      <c r="G344" s="1" t="s">
        <v>21</v>
      </c>
      <c r="H344" s="1" t="s">
        <v>123</v>
      </c>
      <c r="I344" s="1" t="s">
        <v>0</v>
      </c>
      <c r="J344" s="1">
        <v>10</v>
      </c>
      <c r="K344" s="1">
        <f>J344*(IF(I344=ProdFam[[#Headers],[Test]],(VLOOKUP(Data[[#This Row],[Product Family]],ProdFam[],3,FALSE)),(VLOOKUP(Data[[#This Row],[Product Family]],ProdFam[],2,FALSE))))</f>
        <v>900</v>
      </c>
      <c r="L344" s="1">
        <v>150</v>
      </c>
      <c r="M344" s="1">
        <v>10</v>
      </c>
      <c r="N344" s="7">
        <f>IFERROR(Data[[#This Row],[Actual Time]]/Data[[#This Row],[QTY Complete]],"")</f>
        <v>15</v>
      </c>
      <c r="O344" s="7">
        <f>IF(I344=ProdFam[[#Headers],[Test]],(VLOOKUP(Data[[#This Row],[Product Family]],ProdFam[],3,FALSE)),(VLOOKUP(Data[[#This Row],[Product Family]],ProdFam[],2,FALSE)))</f>
        <v>90</v>
      </c>
    </row>
    <row r="345" spans="2:15" x14ac:dyDescent="0.25">
      <c r="B345" s="1">
        <f>WEEKNUM(Data[[#This Row],[Date]],1)</f>
        <v>44</v>
      </c>
      <c r="C345" s="15">
        <f>YEAR(Data[[#This Row],[Date]])</f>
        <v>2019</v>
      </c>
      <c r="D345" s="5">
        <v>43768</v>
      </c>
      <c r="E345" s="1" t="s">
        <v>122</v>
      </c>
      <c r="F345" s="1">
        <v>28818</v>
      </c>
      <c r="G345" s="1" t="s">
        <v>8</v>
      </c>
      <c r="H345" s="1" t="s">
        <v>112</v>
      </c>
      <c r="I345" s="1" t="s">
        <v>0</v>
      </c>
      <c r="J345" s="1">
        <v>21</v>
      </c>
      <c r="K345" s="1">
        <f>J345*(IF(I345=ProdFam[[#Headers],[Test]],(VLOOKUP(Data[[#This Row],[Product Family]],ProdFam[],3,FALSE)),(VLOOKUP(Data[[#This Row],[Product Family]],ProdFam[],2,FALSE))))</f>
        <v>210</v>
      </c>
      <c r="L345" s="1">
        <v>180</v>
      </c>
      <c r="M345" s="1">
        <v>21</v>
      </c>
      <c r="N345" s="7">
        <f>IFERROR(Data[[#This Row],[Actual Time]]/Data[[#This Row],[QTY Complete]],"")</f>
        <v>8.5714285714285712</v>
      </c>
      <c r="O345" s="7">
        <f>IF(I345=ProdFam[[#Headers],[Test]],(VLOOKUP(Data[[#This Row],[Product Family]],ProdFam[],3,FALSE)),(VLOOKUP(Data[[#This Row],[Product Family]],ProdFam[],2,FALSE)))</f>
        <v>10</v>
      </c>
    </row>
    <row r="346" spans="2:15" x14ac:dyDescent="0.25">
      <c r="B346" s="1">
        <f>WEEKNUM(Data[[#This Row],[Date]],1)</f>
        <v>44</v>
      </c>
      <c r="C346" s="15">
        <f>YEAR(Data[[#This Row],[Date]])</f>
        <v>2019</v>
      </c>
      <c r="D346" s="5">
        <v>43768</v>
      </c>
      <c r="E346" s="1" t="s">
        <v>122</v>
      </c>
      <c r="F346" s="1">
        <v>28857</v>
      </c>
      <c r="G346" s="1" t="s">
        <v>28</v>
      </c>
      <c r="H346" s="1" t="s">
        <v>113</v>
      </c>
      <c r="I346" s="1" t="s">
        <v>0</v>
      </c>
      <c r="J346" s="1">
        <v>8</v>
      </c>
      <c r="K346" s="1">
        <f>J346*(IF(I346=ProdFam[[#Headers],[Test]],(VLOOKUP(Data[[#This Row],[Product Family]],ProdFam[],3,FALSE)),(VLOOKUP(Data[[#This Row],[Product Family]],ProdFam[],2,FALSE))))</f>
        <v>376</v>
      </c>
      <c r="L346" s="1">
        <v>150</v>
      </c>
      <c r="M346" s="1">
        <v>0</v>
      </c>
      <c r="N346" s="7" t="str">
        <f>IFERROR(Data[[#This Row],[Actual Time]]/Data[[#This Row],[QTY Complete]],"")</f>
        <v/>
      </c>
      <c r="O346" s="7">
        <f>IF(I346=ProdFam[[#Headers],[Test]],(VLOOKUP(Data[[#This Row],[Product Family]],ProdFam[],3,FALSE)),(VLOOKUP(Data[[#This Row],[Product Family]],ProdFam[],2,FALSE)))</f>
        <v>47</v>
      </c>
    </row>
    <row r="347" spans="2:15" x14ac:dyDescent="0.25">
      <c r="B347" s="1">
        <f>WEEKNUM(Data[[#This Row],[Date]],1)</f>
        <v>44</v>
      </c>
      <c r="C347" s="15">
        <f>YEAR(Data[[#This Row],[Date]])</f>
        <v>2019</v>
      </c>
      <c r="D347" s="5">
        <v>43770</v>
      </c>
      <c r="E347" s="1" t="s">
        <v>117</v>
      </c>
      <c r="F347" s="1">
        <v>28876</v>
      </c>
      <c r="G347" s="1" t="s">
        <v>24</v>
      </c>
      <c r="H347" s="1" t="s">
        <v>113</v>
      </c>
      <c r="I347" s="1" t="s">
        <v>1</v>
      </c>
      <c r="J347" s="1">
        <v>2</v>
      </c>
      <c r="K347" s="1">
        <f>J347*(IF(I347=ProdFam[[#Headers],[Test]],(VLOOKUP(Data[[#This Row],[Product Family]],ProdFam[],3,FALSE)),(VLOOKUP(Data[[#This Row],[Product Family]],ProdFam[],2,FALSE))))</f>
        <v>64</v>
      </c>
      <c r="L347" s="1">
        <v>45</v>
      </c>
      <c r="M347" s="1">
        <v>2</v>
      </c>
      <c r="N347" s="7">
        <f>IFERROR(Data[[#This Row],[Actual Time]]/Data[[#This Row],[QTY Complete]],"")</f>
        <v>22.5</v>
      </c>
      <c r="O347" s="7">
        <f>IF(I347=ProdFam[[#Headers],[Test]],(VLOOKUP(Data[[#This Row],[Product Family]],ProdFam[],3,FALSE)),(VLOOKUP(Data[[#This Row],[Product Family]],ProdFam[],2,FALSE)))</f>
        <v>32</v>
      </c>
    </row>
    <row r="348" spans="2:15" x14ac:dyDescent="0.25">
      <c r="B348" s="1">
        <f>WEEKNUM(Data[[#This Row],[Date]],1)</f>
        <v>44</v>
      </c>
      <c r="C348" s="15">
        <f>YEAR(Data[[#This Row],[Date]])</f>
        <v>2019</v>
      </c>
      <c r="D348" s="5">
        <v>43769</v>
      </c>
      <c r="E348" s="1" t="s">
        <v>117</v>
      </c>
      <c r="F348" s="1">
        <v>28825</v>
      </c>
      <c r="G348" s="1" t="s">
        <v>62</v>
      </c>
      <c r="H348" s="1" t="s">
        <v>112</v>
      </c>
      <c r="I348" s="1" t="s">
        <v>1</v>
      </c>
      <c r="J348" s="1">
        <v>24</v>
      </c>
      <c r="K348" s="1">
        <f>J348*(IF(I348=ProdFam[[#Headers],[Test]],(VLOOKUP(Data[[#This Row],[Product Family]],ProdFam[],3,FALSE)),(VLOOKUP(Data[[#This Row],[Product Family]],ProdFam[],2,FALSE))))</f>
        <v>240</v>
      </c>
      <c r="L348" s="1">
        <v>195</v>
      </c>
      <c r="M348" s="1">
        <v>24</v>
      </c>
      <c r="N348" s="7">
        <f>IFERROR(Data[[#This Row],[Actual Time]]/Data[[#This Row],[QTY Complete]],"")</f>
        <v>8.125</v>
      </c>
      <c r="O348" s="7">
        <f>IF(I348=ProdFam[[#Headers],[Test]],(VLOOKUP(Data[[#This Row],[Product Family]],ProdFam[],3,FALSE)),(VLOOKUP(Data[[#This Row],[Product Family]],ProdFam[],2,FALSE)))</f>
        <v>10</v>
      </c>
    </row>
    <row r="349" spans="2:15" x14ac:dyDescent="0.25">
      <c r="B349" s="1">
        <f>WEEKNUM(Data[[#This Row],[Date]],1)</f>
        <v>44</v>
      </c>
      <c r="C349" s="15">
        <f>YEAR(Data[[#This Row],[Date]])</f>
        <v>2019</v>
      </c>
      <c r="D349" s="5">
        <v>43769</v>
      </c>
      <c r="E349" s="1" t="s">
        <v>117</v>
      </c>
      <c r="F349" s="1">
        <v>28876</v>
      </c>
      <c r="G349" s="1" t="s">
        <v>24</v>
      </c>
      <c r="H349" s="1" t="s">
        <v>113</v>
      </c>
      <c r="I349" s="1" t="s">
        <v>1</v>
      </c>
      <c r="J349" s="1">
        <v>2</v>
      </c>
      <c r="K349" s="1">
        <f>J349*(IF(I349=ProdFam[[#Headers],[Test]],(VLOOKUP(Data[[#This Row],[Product Family]],ProdFam[],3,FALSE)),(VLOOKUP(Data[[#This Row],[Product Family]],ProdFam[],2,FALSE))))</f>
        <v>64</v>
      </c>
      <c r="L349" s="1">
        <v>25</v>
      </c>
      <c r="M349" s="1">
        <v>2</v>
      </c>
      <c r="N349" s="7">
        <f>IFERROR(Data[[#This Row],[Actual Time]]/Data[[#This Row],[QTY Complete]],"")</f>
        <v>12.5</v>
      </c>
      <c r="O349" s="7">
        <f>IF(I349=ProdFam[[#Headers],[Test]],(VLOOKUP(Data[[#This Row],[Product Family]],ProdFam[],3,FALSE)),(VLOOKUP(Data[[#This Row],[Product Family]],ProdFam[],2,FALSE)))</f>
        <v>32</v>
      </c>
    </row>
    <row r="350" spans="2:15" x14ac:dyDescent="0.25">
      <c r="B350" s="1">
        <f>WEEKNUM(Data[[#This Row],[Date]],1)</f>
        <v>44</v>
      </c>
      <c r="C350" s="15">
        <f>YEAR(Data[[#This Row],[Date]])</f>
        <v>2019</v>
      </c>
      <c r="D350" s="5">
        <v>43769</v>
      </c>
      <c r="E350" s="1" t="s">
        <v>117</v>
      </c>
      <c r="F350" s="1">
        <v>28856</v>
      </c>
      <c r="G350" s="1" t="s">
        <v>78</v>
      </c>
      <c r="H350" s="1" t="s">
        <v>113</v>
      </c>
      <c r="I350" s="1" t="s">
        <v>1</v>
      </c>
      <c r="J350" s="1">
        <v>1</v>
      </c>
      <c r="K350" s="1">
        <f>J350*(IF(I350=ProdFam[[#Headers],[Test]],(VLOOKUP(Data[[#This Row],[Product Family]],ProdFam[],3,FALSE)),(VLOOKUP(Data[[#This Row],[Product Family]],ProdFam[],2,FALSE))))</f>
        <v>32</v>
      </c>
      <c r="L350" s="1">
        <v>25</v>
      </c>
      <c r="M350" s="1">
        <v>1</v>
      </c>
      <c r="N350" s="7">
        <f>IFERROR(Data[[#This Row],[Actual Time]]/Data[[#This Row],[QTY Complete]],"")</f>
        <v>25</v>
      </c>
      <c r="O350" s="7">
        <f>IF(I350=ProdFam[[#Headers],[Test]],(VLOOKUP(Data[[#This Row],[Product Family]],ProdFam[],3,FALSE)),(VLOOKUP(Data[[#This Row],[Product Family]],ProdFam[],2,FALSE)))</f>
        <v>32</v>
      </c>
    </row>
    <row r="351" spans="2:15" x14ac:dyDescent="0.25">
      <c r="B351" s="1">
        <f>WEEKNUM(Data[[#This Row],[Date]],1)</f>
        <v>44</v>
      </c>
      <c r="C351" s="15">
        <f>YEAR(Data[[#This Row],[Date]])</f>
        <v>2019</v>
      </c>
      <c r="D351" s="5">
        <v>43769</v>
      </c>
      <c r="E351" s="1" t="s">
        <v>117</v>
      </c>
      <c r="F351" s="1">
        <v>28857</v>
      </c>
      <c r="G351" s="1" t="s">
        <v>28</v>
      </c>
      <c r="H351" s="1" t="s">
        <v>113</v>
      </c>
      <c r="I351" s="1" t="s">
        <v>1</v>
      </c>
      <c r="J351" s="1">
        <v>8</v>
      </c>
      <c r="K351" s="1">
        <f>J351*(IF(I351=ProdFam[[#Headers],[Test]],(VLOOKUP(Data[[#This Row],[Product Family]],ProdFam[],3,FALSE)),(VLOOKUP(Data[[#This Row],[Product Family]],ProdFam[],2,FALSE))))</f>
        <v>256</v>
      </c>
      <c r="L351" s="1">
        <v>140</v>
      </c>
      <c r="M351" s="1">
        <v>8</v>
      </c>
      <c r="N351" s="7">
        <f>IFERROR(Data[[#This Row],[Actual Time]]/Data[[#This Row],[QTY Complete]],"")</f>
        <v>17.5</v>
      </c>
      <c r="O351" s="7">
        <f>IF(I351=ProdFam[[#Headers],[Test]],(VLOOKUP(Data[[#This Row],[Product Family]],ProdFam[],3,FALSE)),(VLOOKUP(Data[[#This Row],[Product Family]],ProdFam[],2,FALSE)))</f>
        <v>32</v>
      </c>
    </row>
    <row r="352" spans="2:15" x14ac:dyDescent="0.25">
      <c r="B352" s="1">
        <f>WEEKNUM(Data[[#This Row],[Date]],1)</f>
        <v>44</v>
      </c>
      <c r="C352" s="15">
        <f>YEAR(Data[[#This Row],[Date]])</f>
        <v>2019</v>
      </c>
      <c r="D352" s="5">
        <v>43770</v>
      </c>
      <c r="E352" s="1" t="s">
        <v>111</v>
      </c>
      <c r="F352" s="1">
        <v>28895</v>
      </c>
      <c r="G352" s="1" t="s">
        <v>38</v>
      </c>
      <c r="H352" s="1" t="s">
        <v>115</v>
      </c>
      <c r="I352" s="1" t="s">
        <v>1</v>
      </c>
      <c r="J352" s="1">
        <v>5</v>
      </c>
      <c r="K352" s="1">
        <f>J352*(IF(I352=ProdFam[[#Headers],[Test]],(VLOOKUP(Data[[#This Row],[Product Family]],ProdFam[],3,FALSE)),(VLOOKUP(Data[[#This Row],[Product Family]],ProdFam[],2,FALSE))))</f>
        <v>120</v>
      </c>
      <c r="L352" s="1">
        <v>90</v>
      </c>
      <c r="M352" s="1">
        <v>5</v>
      </c>
      <c r="N352" s="7">
        <f>IFERROR(Data[[#This Row],[Actual Time]]/Data[[#This Row],[QTY Complete]],"")</f>
        <v>18</v>
      </c>
      <c r="O352" s="7">
        <f>IF(I352=ProdFam[[#Headers],[Test]],(VLOOKUP(Data[[#This Row],[Product Family]],ProdFam[],3,FALSE)),(VLOOKUP(Data[[#This Row],[Product Family]],ProdFam[],2,FALSE)))</f>
        <v>24</v>
      </c>
    </row>
    <row r="353" spans="2:15" x14ac:dyDescent="0.25">
      <c r="B353" s="1">
        <f>WEEKNUM(Data[[#This Row],[Date]],1)</f>
        <v>44</v>
      </c>
      <c r="C353" s="15">
        <f>YEAR(Data[[#This Row],[Date]])</f>
        <v>2019</v>
      </c>
      <c r="D353" s="5">
        <v>43770</v>
      </c>
      <c r="E353" s="1" t="s">
        <v>111</v>
      </c>
      <c r="F353" s="1">
        <v>28944</v>
      </c>
      <c r="G353" s="1" t="s">
        <v>71</v>
      </c>
      <c r="H353" s="1" t="s">
        <v>115</v>
      </c>
      <c r="I353" s="1" t="s">
        <v>1</v>
      </c>
      <c r="J353" s="1">
        <v>4</v>
      </c>
      <c r="K353" s="1">
        <f>J353*(IF(I353=ProdFam[[#Headers],[Test]],(VLOOKUP(Data[[#This Row],[Product Family]],ProdFam[],3,FALSE)),(VLOOKUP(Data[[#This Row],[Product Family]],ProdFam[],2,FALSE))))</f>
        <v>96</v>
      </c>
      <c r="L353" s="1">
        <v>90</v>
      </c>
      <c r="M353" s="1">
        <v>4</v>
      </c>
      <c r="N353" s="7">
        <f>IFERROR(Data[[#This Row],[Actual Time]]/Data[[#This Row],[QTY Complete]],"")</f>
        <v>22.5</v>
      </c>
      <c r="O353" s="7">
        <f>IF(I353=ProdFam[[#Headers],[Test]],(VLOOKUP(Data[[#This Row],[Product Family]],ProdFam[],3,FALSE)),(VLOOKUP(Data[[#This Row],[Product Family]],ProdFam[],2,FALSE)))</f>
        <v>24</v>
      </c>
    </row>
    <row r="354" spans="2:15" x14ac:dyDescent="0.25">
      <c r="B354" s="1">
        <f>WEEKNUM(Data[[#This Row],[Date]],1)</f>
        <v>44</v>
      </c>
      <c r="C354" s="15">
        <f>YEAR(Data[[#This Row],[Date]])</f>
        <v>2019</v>
      </c>
      <c r="D354" s="5">
        <v>43769</v>
      </c>
      <c r="E354" s="1" t="s">
        <v>111</v>
      </c>
      <c r="F354" s="1">
        <v>28807</v>
      </c>
      <c r="G354" s="1" t="s">
        <v>58</v>
      </c>
      <c r="H354" s="1" t="s">
        <v>112</v>
      </c>
      <c r="I354" s="1" t="s">
        <v>1</v>
      </c>
      <c r="J354" s="1">
        <v>12</v>
      </c>
      <c r="K354" s="1">
        <f>J354*(IF(I354=ProdFam[[#Headers],[Test]],(VLOOKUP(Data[[#This Row],[Product Family]],ProdFam[],3,FALSE)),(VLOOKUP(Data[[#This Row],[Product Family]],ProdFam[],2,FALSE))))</f>
        <v>120</v>
      </c>
      <c r="L354" s="1">
        <v>90</v>
      </c>
      <c r="M354" s="1">
        <v>12</v>
      </c>
      <c r="N354" s="7">
        <f>IFERROR(Data[[#This Row],[Actual Time]]/Data[[#This Row],[QTY Complete]],"")</f>
        <v>7.5</v>
      </c>
      <c r="O354" s="7">
        <f>IF(I354=ProdFam[[#Headers],[Test]],(VLOOKUP(Data[[#This Row],[Product Family]],ProdFam[],3,FALSE)),(VLOOKUP(Data[[#This Row],[Product Family]],ProdFam[],2,FALSE)))</f>
        <v>10</v>
      </c>
    </row>
    <row r="355" spans="2:15" x14ac:dyDescent="0.25">
      <c r="B355" s="1">
        <f>WEEKNUM(Data[[#This Row],[Date]],1)</f>
        <v>44</v>
      </c>
      <c r="C355" s="15">
        <f>YEAR(Data[[#This Row],[Date]])</f>
        <v>2019</v>
      </c>
      <c r="D355" s="5">
        <v>43769</v>
      </c>
      <c r="E355" s="1" t="s">
        <v>111</v>
      </c>
      <c r="F355" s="1">
        <v>28895</v>
      </c>
      <c r="G355" s="1" t="s">
        <v>38</v>
      </c>
      <c r="H355" s="1" t="s">
        <v>115</v>
      </c>
      <c r="I355" s="1" t="s">
        <v>1</v>
      </c>
      <c r="J355" s="1">
        <v>13</v>
      </c>
      <c r="K355" s="1">
        <f>J355*(IF(I355=ProdFam[[#Headers],[Test]],(VLOOKUP(Data[[#This Row],[Product Family]],ProdFam[],3,FALSE)),(VLOOKUP(Data[[#This Row],[Product Family]],ProdFam[],2,FALSE))))</f>
        <v>312</v>
      </c>
      <c r="L355" s="1">
        <v>150</v>
      </c>
      <c r="M355" s="1">
        <v>8</v>
      </c>
      <c r="N355" s="7">
        <f>IFERROR(Data[[#This Row],[Actual Time]]/Data[[#This Row],[QTY Complete]],"")</f>
        <v>18.75</v>
      </c>
      <c r="O355" s="7">
        <f>IF(I355=ProdFam[[#Headers],[Test]],(VLOOKUP(Data[[#This Row],[Product Family]],ProdFam[],3,FALSE)),(VLOOKUP(Data[[#This Row],[Product Family]],ProdFam[],2,FALSE)))</f>
        <v>24</v>
      </c>
    </row>
    <row r="356" spans="2:15" x14ac:dyDescent="0.25">
      <c r="B356" s="1">
        <f>WEEKNUM(Data[[#This Row],[Date]],1)</f>
        <v>44</v>
      </c>
      <c r="C356" s="15">
        <f>YEAR(Data[[#This Row],[Date]])</f>
        <v>2019</v>
      </c>
      <c r="D356" s="5">
        <v>43770</v>
      </c>
      <c r="E356" s="1" t="s">
        <v>119</v>
      </c>
      <c r="F356" s="1">
        <v>28877</v>
      </c>
      <c r="G356" s="1" t="s">
        <v>25</v>
      </c>
      <c r="H356" s="1" t="s">
        <v>113</v>
      </c>
      <c r="I356" s="1" t="s">
        <v>1</v>
      </c>
      <c r="J356" s="1">
        <v>10</v>
      </c>
      <c r="K356" s="1">
        <f>J356*(IF(I356=ProdFam[[#Headers],[Test]],(VLOOKUP(Data[[#This Row],[Product Family]],ProdFam[],3,FALSE)),(VLOOKUP(Data[[#This Row],[Product Family]],ProdFam[],2,FALSE))))</f>
        <v>320</v>
      </c>
      <c r="L356" s="1">
        <v>110</v>
      </c>
      <c r="M356" s="1">
        <v>10</v>
      </c>
      <c r="N356" s="7">
        <f>IFERROR(Data[[#This Row],[Actual Time]]/Data[[#This Row],[QTY Complete]],"")</f>
        <v>11</v>
      </c>
      <c r="O356" s="7">
        <f>IF(I356=ProdFam[[#Headers],[Test]],(VLOOKUP(Data[[#This Row],[Product Family]],ProdFam[],3,FALSE)),(VLOOKUP(Data[[#This Row],[Product Family]],ProdFam[],2,FALSE)))</f>
        <v>32</v>
      </c>
    </row>
    <row r="357" spans="2:15" x14ac:dyDescent="0.25">
      <c r="B357" s="1">
        <f>WEEKNUM(Data[[#This Row],[Date]],1)</f>
        <v>44</v>
      </c>
      <c r="C357" s="15">
        <f>YEAR(Data[[#This Row],[Date]])</f>
        <v>2019</v>
      </c>
      <c r="D357" s="5">
        <v>43770</v>
      </c>
      <c r="E357" s="1" t="s">
        <v>119</v>
      </c>
      <c r="F357" s="1">
        <v>28826</v>
      </c>
      <c r="G357" s="1" t="s">
        <v>5</v>
      </c>
      <c r="H357" s="1" t="s">
        <v>112</v>
      </c>
      <c r="I357" s="1" t="s">
        <v>1</v>
      </c>
      <c r="J357" s="1">
        <v>6</v>
      </c>
      <c r="K357" s="1">
        <f>J357*(IF(I357=ProdFam[[#Headers],[Test]],(VLOOKUP(Data[[#This Row],[Product Family]],ProdFam[],3,FALSE)),(VLOOKUP(Data[[#This Row],[Product Family]],ProdFam[],2,FALSE))))</f>
        <v>60</v>
      </c>
      <c r="L357" s="1">
        <v>40</v>
      </c>
      <c r="M357" s="1">
        <v>6</v>
      </c>
      <c r="N357" s="7">
        <f>IFERROR(Data[[#This Row],[Actual Time]]/Data[[#This Row],[QTY Complete]],"")</f>
        <v>6.666666666666667</v>
      </c>
      <c r="O357" s="7">
        <f>IF(I357=ProdFam[[#Headers],[Test]],(VLOOKUP(Data[[#This Row],[Product Family]],ProdFam[],3,FALSE)),(VLOOKUP(Data[[#This Row],[Product Family]],ProdFam[],2,FALSE)))</f>
        <v>10</v>
      </c>
    </row>
    <row r="358" spans="2:15" x14ac:dyDescent="0.25">
      <c r="B358" s="1">
        <f>WEEKNUM(Data[[#This Row],[Date]],1)</f>
        <v>44</v>
      </c>
      <c r="C358" s="15">
        <f>YEAR(Data[[#This Row],[Date]])</f>
        <v>2019</v>
      </c>
      <c r="D358" s="5">
        <v>43770</v>
      </c>
      <c r="E358" s="1" t="s">
        <v>119</v>
      </c>
      <c r="F358" s="1">
        <v>28709</v>
      </c>
      <c r="G358" s="1" t="s">
        <v>15</v>
      </c>
      <c r="H358" s="1" t="s">
        <v>113</v>
      </c>
      <c r="I358" s="1" t="s">
        <v>1</v>
      </c>
      <c r="J358" s="1">
        <v>8</v>
      </c>
      <c r="K358" s="1">
        <f>J358*(IF(I358=ProdFam[[#Headers],[Test]],(VLOOKUP(Data[[#This Row],[Product Family]],ProdFam[],3,FALSE)),(VLOOKUP(Data[[#This Row],[Product Family]],ProdFam[],2,FALSE))))</f>
        <v>256</v>
      </c>
      <c r="L358" s="1">
        <v>110</v>
      </c>
      <c r="M358" s="1">
        <v>8</v>
      </c>
      <c r="N358" s="7">
        <f>IFERROR(Data[[#This Row],[Actual Time]]/Data[[#This Row],[QTY Complete]],"")</f>
        <v>13.75</v>
      </c>
      <c r="O358" s="7">
        <f>IF(I358=ProdFam[[#Headers],[Test]],(VLOOKUP(Data[[#This Row],[Product Family]],ProdFam[],3,FALSE)),(VLOOKUP(Data[[#This Row],[Product Family]],ProdFam[],2,FALSE)))</f>
        <v>32</v>
      </c>
    </row>
    <row r="359" spans="2:15" x14ac:dyDescent="0.25">
      <c r="B359" s="1">
        <f>WEEKNUM(Data[[#This Row],[Date]],1)</f>
        <v>44</v>
      </c>
      <c r="C359" s="15">
        <f>YEAR(Data[[#This Row],[Date]])</f>
        <v>2019</v>
      </c>
      <c r="D359" s="5">
        <v>43770</v>
      </c>
      <c r="E359" s="1" t="s">
        <v>122</v>
      </c>
      <c r="F359" s="1">
        <v>28709</v>
      </c>
      <c r="G359" s="1" t="s">
        <v>15</v>
      </c>
      <c r="H359" s="1" t="s">
        <v>113</v>
      </c>
      <c r="I359" s="1" t="s">
        <v>0</v>
      </c>
      <c r="J359" s="1">
        <v>8</v>
      </c>
      <c r="K359" s="1">
        <f>J359*(IF(I359=ProdFam[[#Headers],[Test]],(VLOOKUP(Data[[#This Row],[Product Family]],ProdFam[],3,FALSE)),(VLOOKUP(Data[[#This Row],[Product Family]],ProdFam[],2,FALSE))))</f>
        <v>376</v>
      </c>
      <c r="L359" s="1">
        <v>300</v>
      </c>
      <c r="M359" s="1">
        <v>8</v>
      </c>
      <c r="N359" s="7">
        <f>IFERROR(Data[[#This Row],[Actual Time]]/Data[[#This Row],[QTY Complete]],"")</f>
        <v>37.5</v>
      </c>
      <c r="O359" s="7">
        <f>IF(I359=ProdFam[[#Headers],[Test]],(VLOOKUP(Data[[#This Row],[Product Family]],ProdFam[],3,FALSE)),(VLOOKUP(Data[[#This Row],[Product Family]],ProdFam[],2,FALSE)))</f>
        <v>47</v>
      </c>
    </row>
    <row r="360" spans="2:15" x14ac:dyDescent="0.25">
      <c r="B360" s="1">
        <f>WEEKNUM(Data[[#This Row],[Date]],1)</f>
        <v>44</v>
      </c>
      <c r="C360" s="15">
        <f>YEAR(Data[[#This Row],[Date]])</f>
        <v>2019</v>
      </c>
      <c r="D360" s="5">
        <v>43770</v>
      </c>
      <c r="E360" s="1" t="s">
        <v>122</v>
      </c>
      <c r="F360" s="1">
        <v>28946</v>
      </c>
      <c r="G360" s="1" t="s">
        <v>79</v>
      </c>
      <c r="H360" s="1" t="s">
        <v>112</v>
      </c>
      <c r="I360" s="1" t="s">
        <v>0</v>
      </c>
      <c r="J360" s="1">
        <v>12</v>
      </c>
      <c r="K360" s="1">
        <f>J360*(IF(I360=ProdFam[[#Headers],[Test]],(VLOOKUP(Data[[#This Row],[Product Family]],ProdFam[],3,FALSE)),(VLOOKUP(Data[[#This Row],[Product Family]],ProdFam[],2,FALSE))))</f>
        <v>120</v>
      </c>
      <c r="L360" s="1">
        <v>135</v>
      </c>
      <c r="M360" s="1">
        <v>12</v>
      </c>
      <c r="N360" s="7">
        <f>IFERROR(Data[[#This Row],[Actual Time]]/Data[[#This Row],[QTY Complete]],"")</f>
        <v>11.25</v>
      </c>
      <c r="O360" s="7">
        <f>IF(I360=ProdFam[[#Headers],[Test]],(VLOOKUP(Data[[#This Row],[Product Family]],ProdFam[],3,FALSE)),(VLOOKUP(Data[[#This Row],[Product Family]],ProdFam[],2,FALSE)))</f>
        <v>10</v>
      </c>
    </row>
    <row r="361" spans="2:15" x14ac:dyDescent="0.25">
      <c r="B361" s="1">
        <f>WEEKNUM(Data[[#This Row],[Date]],1)</f>
        <v>44</v>
      </c>
      <c r="C361" s="15">
        <f>YEAR(Data[[#This Row],[Date]])</f>
        <v>2019</v>
      </c>
      <c r="D361" s="5">
        <v>43769</v>
      </c>
      <c r="E361" s="1" t="s">
        <v>122</v>
      </c>
      <c r="F361" s="1">
        <v>28857</v>
      </c>
      <c r="G361" s="1" t="s">
        <v>28</v>
      </c>
      <c r="H361" s="1" t="s">
        <v>113</v>
      </c>
      <c r="I361" s="1" t="s">
        <v>0</v>
      </c>
      <c r="J361" s="1">
        <v>8</v>
      </c>
      <c r="K361" s="1">
        <f>J361*(IF(I361=ProdFam[[#Headers],[Test]],(VLOOKUP(Data[[#This Row],[Product Family]],ProdFam[],3,FALSE)),(VLOOKUP(Data[[#This Row],[Product Family]],ProdFam[],2,FALSE))))</f>
        <v>376</v>
      </c>
      <c r="L361" s="1">
        <v>210</v>
      </c>
      <c r="M361" s="1">
        <v>8</v>
      </c>
      <c r="N361" s="7">
        <f>IFERROR(Data[[#This Row],[Actual Time]]/Data[[#This Row],[QTY Complete]],"")</f>
        <v>26.25</v>
      </c>
      <c r="O361" s="7">
        <f>IF(I361=ProdFam[[#Headers],[Test]],(VLOOKUP(Data[[#This Row],[Product Family]],ProdFam[],3,FALSE)),(VLOOKUP(Data[[#This Row],[Product Family]],ProdFam[],2,FALSE)))</f>
        <v>47</v>
      </c>
    </row>
    <row r="362" spans="2:15" x14ac:dyDescent="0.25">
      <c r="B362" s="1">
        <f>WEEKNUM(Data[[#This Row],[Date]],1)</f>
        <v>44</v>
      </c>
      <c r="C362" s="15">
        <f>YEAR(Data[[#This Row],[Date]])</f>
        <v>2019</v>
      </c>
      <c r="D362" s="5">
        <v>43769</v>
      </c>
      <c r="E362" s="1" t="s">
        <v>122</v>
      </c>
      <c r="F362" s="1">
        <v>28826</v>
      </c>
      <c r="G362" s="1" t="s">
        <v>22</v>
      </c>
      <c r="H362" s="1" t="s">
        <v>112</v>
      </c>
      <c r="I362" s="1" t="s">
        <v>0</v>
      </c>
      <c r="J362" s="1">
        <v>6</v>
      </c>
      <c r="K362" s="1">
        <f>J362*(IF(I362=ProdFam[[#Headers],[Test]],(VLOOKUP(Data[[#This Row],[Product Family]],ProdFam[],3,FALSE)),(VLOOKUP(Data[[#This Row],[Product Family]],ProdFam[],2,FALSE))))</f>
        <v>60</v>
      </c>
      <c r="L362" s="1">
        <v>75</v>
      </c>
      <c r="M362" s="1">
        <v>6</v>
      </c>
      <c r="N362" s="7">
        <f>IFERROR(Data[[#This Row],[Actual Time]]/Data[[#This Row],[QTY Complete]],"")</f>
        <v>12.5</v>
      </c>
      <c r="O362" s="7">
        <f>IF(I362=ProdFam[[#Headers],[Test]],(VLOOKUP(Data[[#This Row],[Product Family]],ProdFam[],3,FALSE)),(VLOOKUP(Data[[#This Row],[Product Family]],ProdFam[],2,FALSE)))</f>
        <v>10</v>
      </c>
    </row>
    <row r="363" spans="2:15" x14ac:dyDescent="0.25">
      <c r="B363" s="1">
        <f>WEEKNUM(Data[[#This Row],[Date]],1)</f>
        <v>44</v>
      </c>
      <c r="C363" s="15">
        <f>YEAR(Data[[#This Row],[Date]])</f>
        <v>2019</v>
      </c>
      <c r="D363" s="5">
        <v>43769</v>
      </c>
      <c r="E363" s="1" t="s">
        <v>122</v>
      </c>
      <c r="F363" s="1">
        <v>28709</v>
      </c>
      <c r="G363" s="1" t="s">
        <v>15</v>
      </c>
      <c r="H363" s="1" t="s">
        <v>113</v>
      </c>
      <c r="I363" s="1" t="s">
        <v>0</v>
      </c>
      <c r="J363" s="1">
        <v>8</v>
      </c>
      <c r="K363" s="1">
        <f>J363*(IF(I363=ProdFam[[#Headers],[Test]],(VLOOKUP(Data[[#This Row],[Product Family]],ProdFam[],3,FALSE)),(VLOOKUP(Data[[#This Row],[Product Family]],ProdFam[],2,FALSE))))</f>
        <v>376</v>
      </c>
      <c r="L363" s="1">
        <v>45</v>
      </c>
      <c r="M363" s="1">
        <v>0</v>
      </c>
      <c r="N363" s="7" t="str">
        <f>IFERROR(Data[[#This Row],[Actual Time]]/Data[[#This Row],[QTY Complete]],"")</f>
        <v/>
      </c>
      <c r="O363" s="7">
        <f>IF(I363=ProdFam[[#Headers],[Test]],(VLOOKUP(Data[[#This Row],[Product Family]],ProdFam[],3,FALSE)),(VLOOKUP(Data[[#This Row],[Product Family]],ProdFam[],2,FALSE)))</f>
        <v>47</v>
      </c>
    </row>
    <row r="364" spans="2:15" x14ac:dyDescent="0.25">
      <c r="B364" s="1">
        <f>WEEKNUM(Data[[#This Row],[Date]],1)</f>
        <v>44</v>
      </c>
      <c r="C364" s="15">
        <f>YEAR(Data[[#This Row],[Date]])</f>
        <v>2019</v>
      </c>
      <c r="D364" s="5">
        <v>43769</v>
      </c>
      <c r="E364" s="1" t="s">
        <v>131</v>
      </c>
      <c r="F364" s="1">
        <v>28947</v>
      </c>
      <c r="G364" s="1" t="s">
        <v>25</v>
      </c>
      <c r="H364" s="1" t="s">
        <v>113</v>
      </c>
      <c r="I364" s="1" t="s">
        <v>0</v>
      </c>
      <c r="J364" s="1">
        <v>10</v>
      </c>
      <c r="K364" s="1">
        <f>J364*(IF(I364=ProdFam[[#Headers],[Test]],(VLOOKUP(Data[[#This Row],[Product Family]],ProdFam[],3,FALSE)),(VLOOKUP(Data[[#This Row],[Product Family]],ProdFam[],2,FALSE))))</f>
        <v>470</v>
      </c>
      <c r="L364" s="1">
        <v>526</v>
      </c>
      <c r="M364" s="1">
        <v>4</v>
      </c>
      <c r="N364" s="7">
        <f>IFERROR(Data[[#This Row],[Actual Time]]/Data[[#This Row],[QTY Complete]],"")</f>
        <v>131.5</v>
      </c>
      <c r="O364" s="7">
        <f>IF(I364=ProdFam[[#Headers],[Test]],(VLOOKUP(Data[[#This Row],[Product Family]],ProdFam[],3,FALSE)),(VLOOKUP(Data[[#This Row],[Product Family]],ProdFam[],2,FALSE)))</f>
        <v>47</v>
      </c>
    </row>
    <row r="365" spans="2:15" x14ac:dyDescent="0.25">
      <c r="B365" s="1">
        <f>WEEKNUM(Data[[#This Row],[Date]],1)</f>
        <v>44</v>
      </c>
      <c r="C365" s="15">
        <f>YEAR(Data[[#This Row],[Date]])</f>
        <v>2019</v>
      </c>
      <c r="D365" s="5">
        <v>43770</v>
      </c>
      <c r="E365" s="1" t="s">
        <v>128</v>
      </c>
      <c r="F365" s="1">
        <v>61325</v>
      </c>
      <c r="G365" s="1" t="s">
        <v>16</v>
      </c>
      <c r="H365" s="1" t="s">
        <v>162</v>
      </c>
      <c r="I365" s="1" t="s">
        <v>0</v>
      </c>
      <c r="J365" s="1">
        <v>1</v>
      </c>
      <c r="K365" s="1">
        <f>J365*(IF(I365=ProdFam[[#Headers],[Test]],(VLOOKUP(Data[[#This Row],[Product Family]],ProdFam[],3,FALSE)),(VLOOKUP(Data[[#This Row],[Product Family]],ProdFam[],2,FALSE))))</f>
        <v>10</v>
      </c>
      <c r="L365" s="1">
        <v>9</v>
      </c>
      <c r="M365" s="1">
        <v>1</v>
      </c>
      <c r="N365" s="7">
        <f>IFERROR(Data[[#This Row],[Actual Time]]/Data[[#This Row],[QTY Complete]],"")</f>
        <v>9</v>
      </c>
      <c r="O365" s="7">
        <f>IF(I365=ProdFam[[#Headers],[Test]],(VLOOKUP(Data[[#This Row],[Product Family]],ProdFam[],3,FALSE)),(VLOOKUP(Data[[#This Row],[Product Family]],ProdFam[],2,FALSE)))</f>
        <v>10</v>
      </c>
    </row>
    <row r="366" spans="2:15" x14ac:dyDescent="0.25">
      <c r="B366" s="1">
        <f>WEEKNUM(Data[[#This Row],[Date]],1)</f>
        <v>44</v>
      </c>
      <c r="C366" s="15">
        <f>YEAR(Data[[#This Row],[Date]])</f>
        <v>2019</v>
      </c>
      <c r="D366" s="5">
        <v>43770</v>
      </c>
      <c r="E366" s="1" t="s">
        <v>128</v>
      </c>
      <c r="F366" s="1">
        <v>61351</v>
      </c>
      <c r="G366" s="1" t="s">
        <v>16</v>
      </c>
      <c r="H366" s="1" t="s">
        <v>162</v>
      </c>
      <c r="I366" s="1" t="s">
        <v>0</v>
      </c>
      <c r="J366" s="1">
        <v>1</v>
      </c>
      <c r="K366" s="1">
        <f>J366*(IF(I366=ProdFam[[#Headers],[Test]],(VLOOKUP(Data[[#This Row],[Product Family]],ProdFam[],3,FALSE)),(VLOOKUP(Data[[#This Row],[Product Family]],ProdFam[],2,FALSE))))</f>
        <v>10</v>
      </c>
      <c r="L366" s="1">
        <v>8</v>
      </c>
      <c r="M366" s="1">
        <v>1</v>
      </c>
      <c r="N366" s="7">
        <f>IFERROR(Data[[#This Row],[Actual Time]]/Data[[#This Row],[QTY Complete]],"")</f>
        <v>8</v>
      </c>
      <c r="O366" s="7">
        <f>IF(I366=ProdFam[[#Headers],[Test]],(VLOOKUP(Data[[#This Row],[Product Family]],ProdFam[],3,FALSE)),(VLOOKUP(Data[[#This Row],[Product Family]],ProdFam[],2,FALSE)))</f>
        <v>10</v>
      </c>
    </row>
    <row r="367" spans="2:15" x14ac:dyDescent="0.25">
      <c r="B367" s="1">
        <f>WEEKNUM(Data[[#This Row],[Date]],1)</f>
        <v>44</v>
      </c>
      <c r="C367" s="15">
        <f>YEAR(Data[[#This Row],[Date]])</f>
        <v>2019</v>
      </c>
      <c r="D367" s="5">
        <v>43770</v>
      </c>
      <c r="E367" s="1" t="s">
        <v>128</v>
      </c>
      <c r="F367" s="1">
        <v>28971</v>
      </c>
      <c r="G367" s="1" t="s">
        <v>10</v>
      </c>
      <c r="H367" s="1" t="s">
        <v>113</v>
      </c>
      <c r="I367" s="1" t="s">
        <v>0</v>
      </c>
      <c r="J367" s="1">
        <v>4</v>
      </c>
      <c r="K367" s="1">
        <f>J367*(IF(I367=ProdFam[[#Headers],[Test]],(VLOOKUP(Data[[#This Row],[Product Family]],ProdFam[],3,FALSE)),(VLOOKUP(Data[[#This Row],[Product Family]],ProdFam[],2,FALSE))))</f>
        <v>188</v>
      </c>
      <c r="L367" s="1">
        <v>110</v>
      </c>
      <c r="M367" s="1">
        <v>4</v>
      </c>
      <c r="N367" s="7">
        <f>IFERROR(Data[[#This Row],[Actual Time]]/Data[[#This Row],[QTY Complete]],"")</f>
        <v>27.5</v>
      </c>
      <c r="O367" s="7">
        <f>IF(I367=ProdFam[[#Headers],[Test]],(VLOOKUP(Data[[#This Row],[Product Family]],ProdFam[],3,FALSE)),(VLOOKUP(Data[[#This Row],[Product Family]],ProdFam[],2,FALSE)))</f>
        <v>47</v>
      </c>
    </row>
    <row r="368" spans="2:15" x14ac:dyDescent="0.25">
      <c r="B368" s="1">
        <f>WEEKNUM(Data[[#This Row],[Date]],1)</f>
        <v>44</v>
      </c>
      <c r="C368" s="15">
        <f>YEAR(Data[[#This Row],[Date]])</f>
        <v>2019</v>
      </c>
      <c r="D368" s="5">
        <v>43770</v>
      </c>
      <c r="E368" s="1" t="s">
        <v>128</v>
      </c>
      <c r="F368" s="1">
        <v>61867</v>
      </c>
      <c r="G368" s="1" t="s">
        <v>28</v>
      </c>
      <c r="H368" s="1" t="s">
        <v>162</v>
      </c>
      <c r="I368" s="1" t="s">
        <v>0</v>
      </c>
      <c r="J368" s="1">
        <v>1</v>
      </c>
      <c r="K368" s="1">
        <f>J368*(IF(I368=ProdFam[[#Headers],[Test]],(VLOOKUP(Data[[#This Row],[Product Family]],ProdFam[],3,FALSE)),(VLOOKUP(Data[[#This Row],[Product Family]],ProdFam[],2,FALSE))))</f>
        <v>10</v>
      </c>
      <c r="L368" s="1">
        <v>25</v>
      </c>
      <c r="M368" s="1">
        <v>1</v>
      </c>
      <c r="N368" s="7">
        <f>IFERROR(Data[[#This Row],[Actual Time]]/Data[[#This Row],[QTY Complete]],"")</f>
        <v>25</v>
      </c>
      <c r="O368" s="7">
        <f>IF(I368=ProdFam[[#Headers],[Test]],(VLOOKUP(Data[[#This Row],[Product Family]],ProdFam[],3,FALSE)),(VLOOKUP(Data[[#This Row],[Product Family]],ProdFam[],2,FALSE)))</f>
        <v>10</v>
      </c>
    </row>
    <row r="369" spans="2:15" x14ac:dyDescent="0.25">
      <c r="B369" s="1">
        <f>WEEKNUM(Data[[#This Row],[Date]],1)</f>
        <v>44</v>
      </c>
      <c r="C369" s="15">
        <f>YEAR(Data[[#This Row],[Date]])</f>
        <v>2019</v>
      </c>
      <c r="D369" s="5">
        <v>43770</v>
      </c>
      <c r="E369" s="1" t="s">
        <v>128</v>
      </c>
      <c r="F369" s="1">
        <v>61751</v>
      </c>
      <c r="G369" s="1" t="s">
        <v>25</v>
      </c>
      <c r="H369" s="1" t="s">
        <v>162</v>
      </c>
      <c r="I369" s="1" t="s">
        <v>0</v>
      </c>
      <c r="J369" s="1">
        <v>1</v>
      </c>
      <c r="K369" s="1">
        <f>J369*(IF(I369=ProdFam[[#Headers],[Test]],(VLOOKUP(Data[[#This Row],[Product Family]],ProdFam[],3,FALSE)),(VLOOKUP(Data[[#This Row],[Product Family]],ProdFam[],2,FALSE))))</f>
        <v>10</v>
      </c>
      <c r="L369" s="1">
        <v>15</v>
      </c>
      <c r="M369" s="1">
        <v>1</v>
      </c>
      <c r="N369" s="7">
        <f>IFERROR(Data[[#This Row],[Actual Time]]/Data[[#This Row],[QTY Complete]],"")</f>
        <v>15</v>
      </c>
      <c r="O369" s="7">
        <f>IF(I369=ProdFam[[#Headers],[Test]],(VLOOKUP(Data[[#This Row],[Product Family]],ProdFam[],3,FALSE)),(VLOOKUP(Data[[#This Row],[Product Family]],ProdFam[],2,FALSE)))</f>
        <v>10</v>
      </c>
    </row>
    <row r="370" spans="2:15" x14ac:dyDescent="0.25">
      <c r="B370" s="1">
        <f>WEEKNUM(Data[[#This Row],[Date]],1)</f>
        <v>44</v>
      </c>
      <c r="C370" s="15">
        <f>YEAR(Data[[#This Row],[Date]])</f>
        <v>2019</v>
      </c>
      <c r="D370" s="5">
        <v>43770</v>
      </c>
      <c r="E370" s="1" t="s">
        <v>128</v>
      </c>
      <c r="F370" s="1">
        <v>28940</v>
      </c>
      <c r="G370" s="1" t="s">
        <v>80</v>
      </c>
      <c r="H370" s="1" t="s">
        <v>113</v>
      </c>
      <c r="I370" s="1" t="s">
        <v>0</v>
      </c>
      <c r="J370" s="1">
        <v>6</v>
      </c>
      <c r="K370" s="1">
        <f>J370*(IF(I370=ProdFam[[#Headers],[Test]],(VLOOKUP(Data[[#This Row],[Product Family]],ProdFam[],3,FALSE)),(VLOOKUP(Data[[#This Row],[Product Family]],ProdFam[],2,FALSE))))</f>
        <v>282</v>
      </c>
      <c r="L370" s="1">
        <v>65</v>
      </c>
      <c r="M370" s="1">
        <v>6</v>
      </c>
      <c r="N370" s="7">
        <f>IFERROR(Data[[#This Row],[Actual Time]]/Data[[#This Row],[QTY Complete]],"")</f>
        <v>10.833333333333334</v>
      </c>
      <c r="O370" s="7">
        <f>IF(I370=ProdFam[[#Headers],[Test]],(VLOOKUP(Data[[#This Row],[Product Family]],ProdFam[],3,FALSE)),(VLOOKUP(Data[[#This Row],[Product Family]],ProdFam[],2,FALSE)))</f>
        <v>47</v>
      </c>
    </row>
    <row r="371" spans="2:15" x14ac:dyDescent="0.25">
      <c r="B371" s="1">
        <f>WEEKNUM(Data[[#This Row],[Date]],1)</f>
        <v>44</v>
      </c>
      <c r="C371" s="15">
        <f>YEAR(Data[[#This Row],[Date]])</f>
        <v>2019</v>
      </c>
      <c r="D371" s="5">
        <v>43770</v>
      </c>
      <c r="E371" s="1" t="s">
        <v>128</v>
      </c>
      <c r="F371" s="1">
        <v>61567</v>
      </c>
      <c r="G371" s="1" t="s">
        <v>25</v>
      </c>
      <c r="H371" s="1" t="s">
        <v>113</v>
      </c>
      <c r="I371" s="1" t="s">
        <v>0</v>
      </c>
      <c r="J371" s="1">
        <v>2</v>
      </c>
      <c r="K371" s="1">
        <f>J371*(IF(I371=ProdFam[[#Headers],[Test]],(VLOOKUP(Data[[#This Row],[Product Family]],ProdFam[],3,FALSE)),(VLOOKUP(Data[[#This Row],[Product Family]],ProdFam[],2,FALSE))))</f>
        <v>94</v>
      </c>
      <c r="L371" s="1">
        <v>12</v>
      </c>
      <c r="M371" s="1">
        <v>1</v>
      </c>
      <c r="N371" s="7">
        <f>IFERROR(Data[[#This Row],[Actual Time]]/Data[[#This Row],[QTY Complete]],"")</f>
        <v>12</v>
      </c>
      <c r="O371" s="7">
        <f>IF(I371=ProdFam[[#Headers],[Test]],(VLOOKUP(Data[[#This Row],[Product Family]],ProdFam[],3,FALSE)),(VLOOKUP(Data[[#This Row],[Product Family]],ProdFam[],2,FALSE)))</f>
        <v>47</v>
      </c>
    </row>
    <row r="372" spans="2:15" x14ac:dyDescent="0.25">
      <c r="B372" s="1">
        <f>WEEKNUM(Data[[#This Row],[Date]],1)</f>
        <v>44</v>
      </c>
      <c r="C372" s="15">
        <f>YEAR(Data[[#This Row],[Date]])</f>
        <v>2019</v>
      </c>
      <c r="D372" s="5">
        <v>43769</v>
      </c>
      <c r="E372" s="1" t="s">
        <v>128</v>
      </c>
      <c r="F372" s="1">
        <v>28898</v>
      </c>
      <c r="G372" s="1" t="s">
        <v>47</v>
      </c>
      <c r="H372" s="1" t="s">
        <v>113</v>
      </c>
      <c r="I372" s="1" t="s">
        <v>0</v>
      </c>
      <c r="J372" s="1">
        <v>4</v>
      </c>
      <c r="K372" s="1">
        <f>J372*(IF(I372=ProdFam[[#Headers],[Test]],(VLOOKUP(Data[[#This Row],[Product Family]],ProdFam[],3,FALSE)),(VLOOKUP(Data[[#This Row],[Product Family]],ProdFam[],2,FALSE))))</f>
        <v>188</v>
      </c>
      <c r="L372" s="1">
        <v>65</v>
      </c>
      <c r="M372" s="1">
        <v>4</v>
      </c>
      <c r="N372" s="7">
        <f>IFERROR(Data[[#This Row],[Actual Time]]/Data[[#This Row],[QTY Complete]],"")</f>
        <v>16.25</v>
      </c>
      <c r="O372" s="7">
        <f>IF(I372=ProdFam[[#Headers],[Test]],(VLOOKUP(Data[[#This Row],[Product Family]],ProdFam[],3,FALSE)),(VLOOKUP(Data[[#This Row],[Product Family]],ProdFam[],2,FALSE)))</f>
        <v>47</v>
      </c>
    </row>
    <row r="373" spans="2:15" x14ac:dyDescent="0.25">
      <c r="B373" s="1">
        <f>WEEKNUM(Data[[#This Row],[Date]],1)</f>
        <v>44</v>
      </c>
      <c r="C373" s="15">
        <f>YEAR(Data[[#This Row],[Date]])</f>
        <v>2019</v>
      </c>
      <c r="D373" s="5">
        <v>43768</v>
      </c>
      <c r="E373" s="1" t="s">
        <v>128</v>
      </c>
      <c r="F373" s="1">
        <v>61307</v>
      </c>
      <c r="G373" s="1" t="s">
        <v>50</v>
      </c>
      <c r="H373" s="1" t="s">
        <v>162</v>
      </c>
      <c r="I373" s="1" t="s">
        <v>0</v>
      </c>
      <c r="J373" s="1">
        <v>5</v>
      </c>
      <c r="K373" s="1">
        <f>J373*(IF(I373=ProdFam[[#Headers],[Test]],(VLOOKUP(Data[[#This Row],[Product Family]],ProdFam[],3,FALSE)),(VLOOKUP(Data[[#This Row],[Product Family]],ProdFam[],2,FALSE))))</f>
        <v>50</v>
      </c>
      <c r="L373" s="1">
        <v>40</v>
      </c>
      <c r="M373" s="1">
        <v>5</v>
      </c>
      <c r="N373" s="7">
        <f>IFERROR(Data[[#This Row],[Actual Time]]/Data[[#This Row],[QTY Complete]],"")</f>
        <v>8</v>
      </c>
      <c r="O373" s="7">
        <f>IF(I373=ProdFam[[#Headers],[Test]],(VLOOKUP(Data[[#This Row],[Product Family]],ProdFam[],3,FALSE)),(VLOOKUP(Data[[#This Row],[Product Family]],ProdFam[],2,FALSE)))</f>
        <v>10</v>
      </c>
    </row>
    <row r="374" spans="2:15" x14ac:dyDescent="0.25">
      <c r="B374" s="1">
        <f>WEEKNUM(Data[[#This Row],[Date]],1)</f>
        <v>44</v>
      </c>
      <c r="C374" s="15">
        <f>YEAR(Data[[#This Row],[Date]])</f>
        <v>2019</v>
      </c>
      <c r="D374" s="5">
        <v>43768</v>
      </c>
      <c r="E374" s="1" t="s">
        <v>128</v>
      </c>
      <c r="F374" s="1">
        <v>61516</v>
      </c>
      <c r="G374" s="1" t="s">
        <v>50</v>
      </c>
      <c r="H374" s="1" t="s">
        <v>162</v>
      </c>
      <c r="I374" s="1" t="s">
        <v>0</v>
      </c>
      <c r="J374" s="1">
        <v>1</v>
      </c>
      <c r="K374" s="1">
        <f>J374*(IF(I374=ProdFam[[#Headers],[Test]],(VLOOKUP(Data[[#This Row],[Product Family]],ProdFam[],3,FALSE)),(VLOOKUP(Data[[#This Row],[Product Family]],ProdFam[],2,FALSE))))</f>
        <v>10</v>
      </c>
      <c r="L374" s="1">
        <v>11</v>
      </c>
      <c r="M374" s="1">
        <v>1</v>
      </c>
      <c r="N374" s="7">
        <f>IFERROR(Data[[#This Row],[Actual Time]]/Data[[#This Row],[QTY Complete]],"")</f>
        <v>11</v>
      </c>
      <c r="O374" s="7">
        <f>IF(I374=ProdFam[[#Headers],[Test]],(VLOOKUP(Data[[#This Row],[Product Family]],ProdFam[],3,FALSE)),(VLOOKUP(Data[[#This Row],[Product Family]],ProdFam[],2,FALSE)))</f>
        <v>10</v>
      </c>
    </row>
    <row r="375" spans="2:15" x14ac:dyDescent="0.25">
      <c r="B375" s="1">
        <f>WEEKNUM(Data[[#This Row],[Date]],1)</f>
        <v>44</v>
      </c>
      <c r="C375" s="15">
        <f>YEAR(Data[[#This Row],[Date]])</f>
        <v>2019</v>
      </c>
      <c r="D375" s="5">
        <v>43768</v>
      </c>
      <c r="E375" s="1" t="s">
        <v>128</v>
      </c>
      <c r="F375" s="1">
        <v>61775</v>
      </c>
      <c r="G375" s="1" t="s">
        <v>25</v>
      </c>
      <c r="H375" s="1" t="s">
        <v>162</v>
      </c>
      <c r="I375" s="1" t="s">
        <v>0</v>
      </c>
      <c r="J375" s="1">
        <v>1</v>
      </c>
      <c r="K375" s="1">
        <f>J375*(IF(I375=ProdFam[[#Headers],[Test]],(VLOOKUP(Data[[#This Row],[Product Family]],ProdFam[],3,FALSE)),(VLOOKUP(Data[[#This Row],[Product Family]],ProdFam[],2,FALSE))))</f>
        <v>10</v>
      </c>
      <c r="L375" s="1">
        <v>8</v>
      </c>
      <c r="M375" s="1">
        <v>1</v>
      </c>
      <c r="N375" s="7">
        <f>IFERROR(Data[[#This Row],[Actual Time]]/Data[[#This Row],[QTY Complete]],"")</f>
        <v>8</v>
      </c>
      <c r="O375" s="7">
        <f>IF(I375=ProdFam[[#Headers],[Test]],(VLOOKUP(Data[[#This Row],[Product Family]],ProdFam[],3,FALSE)),(VLOOKUP(Data[[#This Row],[Product Family]],ProdFam[],2,FALSE)))</f>
        <v>10</v>
      </c>
    </row>
    <row r="376" spans="2:15" x14ac:dyDescent="0.25">
      <c r="B376" s="1">
        <f>WEEKNUM(Data[[#This Row],[Date]],1)</f>
        <v>44</v>
      </c>
      <c r="C376" s="15">
        <f>YEAR(Data[[#This Row],[Date]])</f>
        <v>2019</v>
      </c>
      <c r="D376" s="5">
        <v>43768</v>
      </c>
      <c r="E376" s="1" t="s">
        <v>128</v>
      </c>
      <c r="F376" s="1">
        <v>61636</v>
      </c>
      <c r="G376" s="1" t="s">
        <v>29</v>
      </c>
      <c r="H376" s="1" t="s">
        <v>162</v>
      </c>
      <c r="I376" s="1" t="s">
        <v>0</v>
      </c>
      <c r="J376" s="1">
        <v>1</v>
      </c>
      <c r="K376" s="1">
        <f>J376*(IF(I376=ProdFam[[#Headers],[Test]],(VLOOKUP(Data[[#This Row],[Product Family]],ProdFam[],3,FALSE)),(VLOOKUP(Data[[#This Row],[Product Family]],ProdFam[],2,FALSE))))</f>
        <v>10</v>
      </c>
      <c r="L376" s="1">
        <v>6</v>
      </c>
      <c r="M376" s="1">
        <v>1</v>
      </c>
      <c r="N376" s="7">
        <f>IFERROR(Data[[#This Row],[Actual Time]]/Data[[#This Row],[QTY Complete]],"")</f>
        <v>6</v>
      </c>
      <c r="O376" s="7">
        <f>IF(I376=ProdFam[[#Headers],[Test]],(VLOOKUP(Data[[#This Row],[Product Family]],ProdFam[],3,FALSE)),(VLOOKUP(Data[[#This Row],[Product Family]],ProdFam[],2,FALSE)))</f>
        <v>10</v>
      </c>
    </row>
    <row r="377" spans="2:15" x14ac:dyDescent="0.25">
      <c r="B377" s="1">
        <f>WEEKNUM(Data[[#This Row],[Date]],1)</f>
        <v>44</v>
      </c>
      <c r="C377" s="15">
        <f>YEAR(Data[[#This Row],[Date]])</f>
        <v>2019</v>
      </c>
      <c r="D377" s="5">
        <v>43768</v>
      </c>
      <c r="E377" s="1" t="s">
        <v>128</v>
      </c>
      <c r="F377" s="1">
        <v>28939</v>
      </c>
      <c r="G377" s="1" t="s">
        <v>81</v>
      </c>
      <c r="H377" s="1" t="s">
        <v>113</v>
      </c>
      <c r="I377" s="1" t="s">
        <v>0</v>
      </c>
      <c r="J377" s="1">
        <v>4</v>
      </c>
      <c r="K377" s="1">
        <f>J377*(IF(I377=ProdFam[[#Headers],[Test]],(VLOOKUP(Data[[#This Row],[Product Family]],ProdFam[],3,FALSE)),(VLOOKUP(Data[[#This Row],[Product Family]],ProdFam[],2,FALSE))))</f>
        <v>188</v>
      </c>
      <c r="L377" s="1">
        <v>123</v>
      </c>
      <c r="M377" s="1">
        <v>4</v>
      </c>
      <c r="N377" s="7">
        <f>IFERROR(Data[[#This Row],[Actual Time]]/Data[[#This Row],[QTY Complete]],"")</f>
        <v>30.75</v>
      </c>
      <c r="O377" s="7">
        <f>IF(I377=ProdFam[[#Headers],[Test]],(VLOOKUP(Data[[#This Row],[Product Family]],ProdFam[],3,FALSE)),(VLOOKUP(Data[[#This Row],[Product Family]],ProdFam[],2,FALSE)))</f>
        <v>47</v>
      </c>
    </row>
    <row r="378" spans="2:15" x14ac:dyDescent="0.25">
      <c r="B378" s="1">
        <f>WEEKNUM(Data[[#This Row],[Date]],1)</f>
        <v>44</v>
      </c>
      <c r="C378" s="15">
        <f>YEAR(Data[[#This Row],[Date]])</f>
        <v>2019</v>
      </c>
      <c r="D378" s="5">
        <v>43768</v>
      </c>
      <c r="E378" s="1" t="s">
        <v>128</v>
      </c>
      <c r="F378" s="1">
        <v>60015</v>
      </c>
      <c r="G378" s="1" t="s">
        <v>28</v>
      </c>
      <c r="H378" s="1" t="s">
        <v>162</v>
      </c>
      <c r="I378" s="1" t="s">
        <v>0</v>
      </c>
      <c r="J378" s="1">
        <v>1</v>
      </c>
      <c r="K378" s="1">
        <f>J378*(IF(I378=ProdFam[[#Headers],[Test]],(VLOOKUP(Data[[#This Row],[Product Family]],ProdFam[],3,FALSE)),(VLOOKUP(Data[[#This Row],[Product Family]],ProdFam[],2,FALSE))))</f>
        <v>10</v>
      </c>
      <c r="L378" s="1">
        <v>10</v>
      </c>
      <c r="M378" s="1">
        <v>1</v>
      </c>
      <c r="N378" s="7">
        <f>IFERROR(Data[[#This Row],[Actual Time]]/Data[[#This Row],[QTY Complete]],"")</f>
        <v>10</v>
      </c>
      <c r="O378" s="7">
        <f>IF(I378=ProdFam[[#Headers],[Test]],(VLOOKUP(Data[[#This Row],[Product Family]],ProdFam[],3,FALSE)),(VLOOKUP(Data[[#This Row],[Product Family]],ProdFam[],2,FALSE)))</f>
        <v>10</v>
      </c>
    </row>
    <row r="379" spans="2:15" x14ac:dyDescent="0.25">
      <c r="B379" s="1">
        <f>WEEKNUM(Data[[#This Row],[Date]],1)</f>
        <v>44</v>
      </c>
      <c r="C379" s="15">
        <f>YEAR(Data[[#This Row],[Date]])</f>
        <v>2019</v>
      </c>
      <c r="D379" s="5">
        <v>43769</v>
      </c>
      <c r="E379" s="1" t="s">
        <v>118</v>
      </c>
      <c r="F379" s="1">
        <v>28876</v>
      </c>
      <c r="G379" s="1" t="s">
        <v>24</v>
      </c>
      <c r="H379" s="1" t="s">
        <v>113</v>
      </c>
      <c r="I379" s="1" t="s">
        <v>0</v>
      </c>
      <c r="J379" s="1">
        <v>2</v>
      </c>
      <c r="K379" s="1">
        <f>J379*(IF(I379=ProdFam[[#Headers],[Test]],(VLOOKUP(Data[[#This Row],[Product Family]],ProdFam[],3,FALSE)),(VLOOKUP(Data[[#This Row],[Product Family]],ProdFam[],2,FALSE))))</f>
        <v>94</v>
      </c>
      <c r="L379" s="1">
        <v>85</v>
      </c>
      <c r="M379" s="1">
        <v>2</v>
      </c>
      <c r="N379" s="7">
        <f>IFERROR(Data[[#This Row],[Actual Time]]/Data[[#This Row],[QTY Complete]],"")</f>
        <v>42.5</v>
      </c>
      <c r="O379" s="7">
        <f>IF(I379=ProdFam[[#Headers],[Test]],(VLOOKUP(Data[[#This Row],[Product Family]],ProdFam[],3,FALSE)),(VLOOKUP(Data[[#This Row],[Product Family]],ProdFam[],2,FALSE)))</f>
        <v>47</v>
      </c>
    </row>
    <row r="380" spans="2:15" x14ac:dyDescent="0.25">
      <c r="B380" s="1">
        <f>WEEKNUM(Data[[#This Row],[Date]],1)</f>
        <v>44</v>
      </c>
      <c r="C380" s="15">
        <f>YEAR(Data[[#This Row],[Date]])</f>
        <v>2019</v>
      </c>
      <c r="D380" s="5">
        <v>43769</v>
      </c>
      <c r="E380" s="1" t="s">
        <v>118</v>
      </c>
      <c r="F380" s="1">
        <v>28856</v>
      </c>
      <c r="G380" s="1" t="s">
        <v>78</v>
      </c>
      <c r="H380" s="1" t="s">
        <v>113</v>
      </c>
      <c r="I380" s="1" t="s">
        <v>0</v>
      </c>
      <c r="J380" s="1">
        <v>1</v>
      </c>
      <c r="K380" s="1">
        <f>J380*(IF(I380=ProdFam[[#Headers],[Test]],(VLOOKUP(Data[[#This Row],[Product Family]],ProdFam[],3,FALSE)),(VLOOKUP(Data[[#This Row],[Product Family]],ProdFam[],2,FALSE))))</f>
        <v>47</v>
      </c>
      <c r="L380" s="1">
        <v>90</v>
      </c>
      <c r="M380" s="1">
        <v>1</v>
      </c>
      <c r="N380" s="7">
        <f>IFERROR(Data[[#This Row],[Actual Time]]/Data[[#This Row],[QTY Complete]],"")</f>
        <v>90</v>
      </c>
      <c r="O380" s="7">
        <f>IF(I380=ProdFam[[#Headers],[Test]],(VLOOKUP(Data[[#This Row],[Product Family]],ProdFam[],3,FALSE)),(VLOOKUP(Data[[#This Row],[Product Family]],ProdFam[],2,FALSE)))</f>
        <v>47</v>
      </c>
    </row>
    <row r="381" spans="2:15" x14ac:dyDescent="0.25">
      <c r="B381" s="1">
        <f>WEEKNUM(Data[[#This Row],[Date]],1)</f>
        <v>44</v>
      </c>
      <c r="C381" s="15">
        <f>YEAR(Data[[#This Row],[Date]])</f>
        <v>2019</v>
      </c>
      <c r="D381" s="5">
        <v>43769</v>
      </c>
      <c r="E381" s="1" t="s">
        <v>118</v>
      </c>
      <c r="F381" s="1">
        <v>28823</v>
      </c>
      <c r="G381" s="1" t="s">
        <v>49</v>
      </c>
      <c r="H381" s="1" t="s">
        <v>112</v>
      </c>
      <c r="I381" s="1" t="s">
        <v>0</v>
      </c>
      <c r="J381" s="1">
        <v>12</v>
      </c>
      <c r="K381" s="1">
        <f>J381*(IF(I381=ProdFam[[#Headers],[Test]],(VLOOKUP(Data[[#This Row],[Product Family]],ProdFam[],3,FALSE)),(VLOOKUP(Data[[#This Row],[Product Family]],ProdFam[],2,FALSE))))</f>
        <v>120</v>
      </c>
      <c r="L381" s="1">
        <v>215</v>
      </c>
      <c r="M381" s="1">
        <v>12</v>
      </c>
      <c r="N381" s="7">
        <f>IFERROR(Data[[#This Row],[Actual Time]]/Data[[#This Row],[QTY Complete]],"")</f>
        <v>17.916666666666668</v>
      </c>
      <c r="O381" s="7">
        <f>IF(I381=ProdFam[[#Headers],[Test]],(VLOOKUP(Data[[#This Row],[Product Family]],ProdFam[],3,FALSE)),(VLOOKUP(Data[[#This Row],[Product Family]],ProdFam[],2,FALSE)))</f>
        <v>10</v>
      </c>
    </row>
    <row r="382" spans="2:15" x14ac:dyDescent="0.25">
      <c r="B382" s="1">
        <f>WEEKNUM(Data[[#This Row],[Date]],1)</f>
        <v>44</v>
      </c>
      <c r="C382" s="15">
        <f>YEAR(Data[[#This Row],[Date]])</f>
        <v>2019</v>
      </c>
      <c r="D382" s="5">
        <v>43769</v>
      </c>
      <c r="E382" s="1" t="s">
        <v>118</v>
      </c>
      <c r="F382" s="1">
        <v>28944</v>
      </c>
      <c r="G382" s="1" t="s">
        <v>71</v>
      </c>
      <c r="H382" s="1" t="s">
        <v>115</v>
      </c>
      <c r="I382" s="1" t="s">
        <v>0</v>
      </c>
      <c r="J382" s="1">
        <v>4</v>
      </c>
      <c r="K382" s="1">
        <f>J382*(IF(I382=ProdFam[[#Headers],[Test]],(VLOOKUP(Data[[#This Row],[Product Family]],ProdFam[],3,FALSE)),(VLOOKUP(Data[[#This Row],[Product Family]],ProdFam[],2,FALSE))))</f>
        <v>32</v>
      </c>
      <c r="L382" s="1">
        <v>15</v>
      </c>
      <c r="M382" s="1">
        <v>4</v>
      </c>
      <c r="N382" s="7">
        <f>IFERROR(Data[[#This Row],[Actual Time]]/Data[[#This Row],[QTY Complete]],"")</f>
        <v>3.75</v>
      </c>
      <c r="O382" s="7">
        <f>IF(I382=ProdFam[[#Headers],[Test]],(VLOOKUP(Data[[#This Row],[Product Family]],ProdFam[],3,FALSE)),(VLOOKUP(Data[[#This Row],[Product Family]],ProdFam[],2,FALSE)))</f>
        <v>8</v>
      </c>
    </row>
    <row r="383" spans="2:15" x14ac:dyDescent="0.25">
      <c r="B383" s="1">
        <f>WEEKNUM(Data[[#This Row],[Date]],1)</f>
        <v>44</v>
      </c>
      <c r="C383" s="15">
        <f>YEAR(Data[[#This Row],[Date]])</f>
        <v>2019</v>
      </c>
      <c r="D383" s="5">
        <v>43769</v>
      </c>
      <c r="E383" s="1" t="s">
        <v>118</v>
      </c>
      <c r="F383" s="1">
        <v>28852</v>
      </c>
      <c r="G383" s="1" t="s">
        <v>13</v>
      </c>
      <c r="H383" s="1" t="s">
        <v>113</v>
      </c>
      <c r="I383" s="1" t="s">
        <v>0</v>
      </c>
      <c r="J383" s="1">
        <v>4</v>
      </c>
      <c r="K383" s="1">
        <f>J383*(IF(I383=ProdFam[[#Headers],[Test]],(VLOOKUP(Data[[#This Row],[Product Family]],ProdFam[],3,FALSE)),(VLOOKUP(Data[[#This Row],[Product Family]],ProdFam[],2,FALSE))))</f>
        <v>188</v>
      </c>
      <c r="L383" s="1">
        <v>55</v>
      </c>
      <c r="M383" s="1">
        <v>0</v>
      </c>
      <c r="N383" s="7" t="str">
        <f>IFERROR(Data[[#This Row],[Actual Time]]/Data[[#This Row],[QTY Complete]],"")</f>
        <v/>
      </c>
      <c r="O383" s="7">
        <f>IF(I383=ProdFam[[#Headers],[Test]],(VLOOKUP(Data[[#This Row],[Product Family]],ProdFam[],3,FALSE)),(VLOOKUP(Data[[#This Row],[Product Family]],ProdFam[],2,FALSE)))</f>
        <v>47</v>
      </c>
    </row>
    <row r="384" spans="2:15" x14ac:dyDescent="0.25">
      <c r="B384" s="1">
        <f>WEEKNUM(Data[[#This Row],[Date]],1)</f>
        <v>44</v>
      </c>
      <c r="C384" s="15">
        <f>YEAR(Data[[#This Row],[Date]])</f>
        <v>2019</v>
      </c>
      <c r="D384" s="5">
        <v>43770</v>
      </c>
      <c r="E384" s="1" t="s">
        <v>118</v>
      </c>
      <c r="F384" s="1">
        <v>28904</v>
      </c>
      <c r="G384" s="1" t="s">
        <v>7</v>
      </c>
      <c r="H384" s="1" t="s">
        <v>115</v>
      </c>
      <c r="I384" s="1" t="s">
        <v>0</v>
      </c>
      <c r="J384" s="1">
        <v>3</v>
      </c>
      <c r="K384" s="1">
        <f>J384*(IF(I384=ProdFam[[#Headers],[Test]],(VLOOKUP(Data[[#This Row],[Product Family]],ProdFam[],3,FALSE)),(VLOOKUP(Data[[#This Row],[Product Family]],ProdFam[],2,FALSE))))</f>
        <v>24</v>
      </c>
      <c r="L384" s="1">
        <v>18</v>
      </c>
      <c r="M384" s="1">
        <v>3</v>
      </c>
      <c r="N384" s="7">
        <f>IFERROR(Data[[#This Row],[Actual Time]]/Data[[#This Row],[QTY Complete]],"")</f>
        <v>6</v>
      </c>
      <c r="O384" s="7">
        <f>IF(I384=ProdFam[[#Headers],[Test]],(VLOOKUP(Data[[#This Row],[Product Family]],ProdFam[],3,FALSE)),(VLOOKUP(Data[[#This Row],[Product Family]],ProdFam[],2,FALSE)))</f>
        <v>8</v>
      </c>
    </row>
    <row r="385" spans="2:15" x14ac:dyDescent="0.25">
      <c r="B385" s="1">
        <f>WEEKNUM(Data[[#This Row],[Date]],1)</f>
        <v>44</v>
      </c>
      <c r="C385" s="15">
        <f>YEAR(Data[[#This Row],[Date]])</f>
        <v>2019</v>
      </c>
      <c r="D385" s="5">
        <v>43770</v>
      </c>
      <c r="E385" s="1" t="s">
        <v>118</v>
      </c>
      <c r="F385" s="1">
        <v>28903</v>
      </c>
      <c r="G385" s="1" t="s">
        <v>72</v>
      </c>
      <c r="H385" s="1" t="s">
        <v>115</v>
      </c>
      <c r="I385" s="1" t="s">
        <v>0</v>
      </c>
      <c r="J385" s="1">
        <v>6</v>
      </c>
      <c r="K385" s="1">
        <f>J385*(IF(I385=ProdFam[[#Headers],[Test]],(VLOOKUP(Data[[#This Row],[Product Family]],ProdFam[],3,FALSE)),(VLOOKUP(Data[[#This Row],[Product Family]],ProdFam[],2,FALSE))))</f>
        <v>48</v>
      </c>
      <c r="L385" s="1">
        <v>60</v>
      </c>
      <c r="M385" s="1">
        <v>6</v>
      </c>
      <c r="N385" s="7">
        <f>IFERROR(Data[[#This Row],[Actual Time]]/Data[[#This Row],[QTY Complete]],"")</f>
        <v>10</v>
      </c>
      <c r="O385" s="7">
        <f>IF(I385=ProdFam[[#Headers],[Test]],(VLOOKUP(Data[[#This Row],[Product Family]],ProdFam[],3,FALSE)),(VLOOKUP(Data[[#This Row],[Product Family]],ProdFam[],2,FALSE)))</f>
        <v>8</v>
      </c>
    </row>
    <row r="386" spans="2:15" x14ac:dyDescent="0.25">
      <c r="B386" s="1">
        <f>WEEKNUM(Data[[#This Row],[Date]],1)</f>
        <v>44</v>
      </c>
      <c r="C386" s="15">
        <f>YEAR(Data[[#This Row],[Date]])</f>
        <v>2019</v>
      </c>
      <c r="D386" s="5">
        <v>43770</v>
      </c>
      <c r="E386" s="1" t="s">
        <v>118</v>
      </c>
      <c r="F386" s="1">
        <v>28892</v>
      </c>
      <c r="G386" s="1" t="s">
        <v>18</v>
      </c>
      <c r="H386" s="1" t="s">
        <v>115</v>
      </c>
      <c r="I386" s="1" t="s">
        <v>0</v>
      </c>
      <c r="J386" s="1">
        <v>13</v>
      </c>
      <c r="K386" s="1">
        <f>J386*(IF(I386=ProdFam[[#Headers],[Test]],(VLOOKUP(Data[[#This Row],[Product Family]],ProdFam[],3,FALSE)),(VLOOKUP(Data[[#This Row],[Product Family]],ProdFam[],2,FALSE))))</f>
        <v>104</v>
      </c>
      <c r="L386" s="1">
        <v>30</v>
      </c>
      <c r="M386" s="1">
        <v>13</v>
      </c>
      <c r="N386" s="7">
        <f>IFERROR(Data[[#This Row],[Actual Time]]/Data[[#This Row],[QTY Complete]],"")</f>
        <v>2.3076923076923075</v>
      </c>
      <c r="O386" s="7">
        <f>IF(I386=ProdFam[[#Headers],[Test]],(VLOOKUP(Data[[#This Row],[Product Family]],ProdFam[],3,FALSE)),(VLOOKUP(Data[[#This Row],[Product Family]],ProdFam[],2,FALSE)))</f>
        <v>8</v>
      </c>
    </row>
    <row r="387" spans="2:15" x14ac:dyDescent="0.25">
      <c r="B387" s="1">
        <f>WEEKNUM(Data[[#This Row],[Date]],1)</f>
        <v>44</v>
      </c>
      <c r="C387" s="15">
        <f>YEAR(Data[[#This Row],[Date]])</f>
        <v>2019</v>
      </c>
      <c r="D387" s="5">
        <v>43770</v>
      </c>
      <c r="E387" s="1" t="s">
        <v>118</v>
      </c>
      <c r="F387" s="1">
        <v>28950</v>
      </c>
      <c r="G387" s="1" t="s">
        <v>62</v>
      </c>
      <c r="H387" s="1" t="s">
        <v>112</v>
      </c>
      <c r="I387" s="1" t="s">
        <v>0</v>
      </c>
      <c r="J387" s="1">
        <v>24</v>
      </c>
      <c r="K387" s="1">
        <f>J387*(IF(I387=ProdFam[[#Headers],[Test]],(VLOOKUP(Data[[#This Row],[Product Family]],ProdFam[],3,FALSE)),(VLOOKUP(Data[[#This Row],[Product Family]],ProdFam[],2,FALSE))))</f>
        <v>240</v>
      </c>
      <c r="L387" s="1">
        <v>30</v>
      </c>
      <c r="M387" s="1">
        <v>24</v>
      </c>
      <c r="N387" s="7">
        <f>IFERROR(Data[[#This Row],[Actual Time]]/Data[[#This Row],[QTY Complete]],"")</f>
        <v>1.25</v>
      </c>
      <c r="O387" s="7">
        <f>IF(I387=ProdFam[[#Headers],[Test]],(VLOOKUP(Data[[#This Row],[Product Family]],ProdFam[],3,FALSE)),(VLOOKUP(Data[[#This Row],[Product Family]],ProdFam[],2,FALSE)))</f>
        <v>10</v>
      </c>
    </row>
    <row r="388" spans="2:15" x14ac:dyDescent="0.25">
      <c r="B388" s="1">
        <f>WEEKNUM(Data[[#This Row],[Date]],1)</f>
        <v>44</v>
      </c>
      <c r="C388" s="15">
        <f>YEAR(Data[[#This Row],[Date]])</f>
        <v>2019</v>
      </c>
      <c r="D388" s="5">
        <v>43770</v>
      </c>
      <c r="E388" s="1" t="s">
        <v>118</v>
      </c>
      <c r="F388" s="1">
        <v>28891</v>
      </c>
      <c r="G388" s="1" t="s">
        <v>76</v>
      </c>
      <c r="H388" s="1" t="s">
        <v>115</v>
      </c>
      <c r="I388" s="1" t="s">
        <v>0</v>
      </c>
      <c r="J388" s="1">
        <v>8</v>
      </c>
      <c r="K388" s="1">
        <f>J388*(IF(I388=ProdFam[[#Headers],[Test]],(VLOOKUP(Data[[#This Row],[Product Family]],ProdFam[],3,FALSE)),(VLOOKUP(Data[[#This Row],[Product Family]],ProdFam[],2,FALSE))))</f>
        <v>64</v>
      </c>
      <c r="L388" s="1">
        <v>125</v>
      </c>
      <c r="M388" s="1">
        <v>8</v>
      </c>
      <c r="N388" s="7">
        <f>IFERROR(Data[[#This Row],[Actual Time]]/Data[[#This Row],[QTY Complete]],"")</f>
        <v>15.625</v>
      </c>
      <c r="O388" s="7">
        <f>IF(I388=ProdFam[[#Headers],[Test]],(VLOOKUP(Data[[#This Row],[Product Family]],ProdFam[],3,FALSE)),(VLOOKUP(Data[[#This Row],[Product Family]],ProdFam[],2,FALSE)))</f>
        <v>8</v>
      </c>
    </row>
    <row r="389" spans="2:15" x14ac:dyDescent="0.25">
      <c r="B389" s="1">
        <f>WEEKNUM(Data[[#This Row],[Date]],1)</f>
        <v>44</v>
      </c>
      <c r="C389" s="15">
        <f>YEAR(Data[[#This Row],[Date]])</f>
        <v>2019</v>
      </c>
      <c r="D389" s="5">
        <v>43770</v>
      </c>
      <c r="E389" s="1" t="s">
        <v>118</v>
      </c>
      <c r="F389" s="1">
        <v>28852</v>
      </c>
      <c r="G389" s="1" t="s">
        <v>13</v>
      </c>
      <c r="H389" s="1" t="s">
        <v>113</v>
      </c>
      <c r="I389" s="1" t="s">
        <v>0</v>
      </c>
      <c r="J389" s="1">
        <v>4</v>
      </c>
      <c r="K389" s="1">
        <f>J389*(IF(I389=ProdFam[[#Headers],[Test]],(VLOOKUP(Data[[#This Row],[Product Family]],ProdFam[],3,FALSE)),(VLOOKUP(Data[[#This Row],[Product Family]],ProdFam[],2,FALSE))))</f>
        <v>188</v>
      </c>
      <c r="L389" s="1">
        <v>130</v>
      </c>
      <c r="M389" s="1">
        <v>0</v>
      </c>
      <c r="N389" s="7" t="str">
        <f>IFERROR(Data[[#This Row],[Actual Time]]/Data[[#This Row],[QTY Complete]],"")</f>
        <v/>
      </c>
      <c r="O389" s="7">
        <f>IF(I389=ProdFam[[#Headers],[Test]],(VLOOKUP(Data[[#This Row],[Product Family]],ProdFam[],3,FALSE)),(VLOOKUP(Data[[#This Row],[Product Family]],ProdFam[],2,FALSE)))</f>
        <v>47</v>
      </c>
    </row>
    <row r="390" spans="2:15" x14ac:dyDescent="0.25">
      <c r="B390" s="1">
        <f>WEEKNUM(Data[[#This Row],[Date]],1)</f>
        <v>45</v>
      </c>
      <c r="C390" s="15">
        <f>YEAR(Data[[#This Row],[Date]])</f>
        <v>2019</v>
      </c>
      <c r="D390" s="5">
        <v>43776</v>
      </c>
      <c r="E390" s="1" t="s">
        <v>111</v>
      </c>
      <c r="F390" s="1">
        <v>29076</v>
      </c>
      <c r="G390" s="1" t="s">
        <v>49</v>
      </c>
      <c r="H390" s="1" t="s">
        <v>112</v>
      </c>
      <c r="I390" s="1" t="s">
        <v>1</v>
      </c>
      <c r="J390" s="1">
        <v>12</v>
      </c>
      <c r="K390" s="1">
        <f>J390*(IF(I390=ProdFam[[#Headers],[Test]],(VLOOKUP(Data[[#This Row],[Product Family]],ProdFam[],3,FALSE)),(VLOOKUP(Data[[#This Row],[Product Family]],ProdFam[],2,FALSE))))</f>
        <v>120</v>
      </c>
      <c r="L390" s="1">
        <v>120</v>
      </c>
      <c r="M390" s="1">
        <v>12</v>
      </c>
      <c r="N390" s="7">
        <f>IFERROR(Data[[#This Row],[Actual Time]]/Data[[#This Row],[QTY Complete]],"")</f>
        <v>10</v>
      </c>
      <c r="O390" s="7">
        <f>IF(I390=ProdFam[[#Headers],[Test]],(VLOOKUP(Data[[#This Row],[Product Family]],ProdFam[],3,FALSE)),(VLOOKUP(Data[[#This Row],[Product Family]],ProdFam[],2,FALSE)))</f>
        <v>10</v>
      </c>
    </row>
    <row r="391" spans="2:15" x14ac:dyDescent="0.25">
      <c r="B391" s="1">
        <f>WEEKNUM(Data[[#This Row],[Date]],1)</f>
        <v>45</v>
      </c>
      <c r="C391" s="15">
        <f>YEAR(Data[[#This Row],[Date]])</f>
        <v>2019</v>
      </c>
      <c r="D391" s="5">
        <v>43776</v>
      </c>
      <c r="E391" s="1" t="s">
        <v>111</v>
      </c>
      <c r="F391" s="1">
        <v>28969</v>
      </c>
      <c r="G391" s="1" t="s">
        <v>42</v>
      </c>
      <c r="H391" s="1" t="s">
        <v>112</v>
      </c>
      <c r="I391" s="1" t="s">
        <v>1</v>
      </c>
      <c r="J391" s="1">
        <v>3</v>
      </c>
      <c r="K391" s="1">
        <f>J391*(IF(I391=ProdFam[[#Headers],[Test]],(VLOOKUP(Data[[#This Row],[Product Family]],ProdFam[],3,FALSE)),(VLOOKUP(Data[[#This Row],[Product Family]],ProdFam[],2,FALSE))))</f>
        <v>30</v>
      </c>
      <c r="L391" s="1">
        <v>30</v>
      </c>
      <c r="M391" s="1">
        <v>3</v>
      </c>
      <c r="N391" s="7">
        <f>IFERROR(Data[[#This Row],[Actual Time]]/Data[[#This Row],[QTY Complete]],"")</f>
        <v>10</v>
      </c>
      <c r="O391" s="7">
        <f>IF(I391=ProdFam[[#Headers],[Test]],(VLOOKUP(Data[[#This Row],[Product Family]],ProdFam[],3,FALSE)),(VLOOKUP(Data[[#This Row],[Product Family]],ProdFam[],2,FALSE)))</f>
        <v>10</v>
      </c>
    </row>
    <row r="392" spans="2:15" x14ac:dyDescent="0.25">
      <c r="B392" s="1">
        <f>WEEKNUM(Data[[#This Row],[Date]],1)</f>
        <v>45</v>
      </c>
      <c r="C392" s="15">
        <f>YEAR(Data[[#This Row],[Date]])</f>
        <v>2019</v>
      </c>
      <c r="D392" s="5">
        <v>43776</v>
      </c>
      <c r="E392" s="1" t="s">
        <v>111</v>
      </c>
      <c r="F392" s="1">
        <v>29078</v>
      </c>
      <c r="G392" s="1" t="s">
        <v>75</v>
      </c>
      <c r="H392" s="1" t="s">
        <v>112</v>
      </c>
      <c r="I392" s="1" t="s">
        <v>1</v>
      </c>
      <c r="J392" s="1">
        <v>6</v>
      </c>
      <c r="K392" s="1">
        <f>J392*(IF(I392=ProdFam[[#Headers],[Test]],(VLOOKUP(Data[[#This Row],[Product Family]],ProdFam[],3,FALSE)),(VLOOKUP(Data[[#This Row],[Product Family]],ProdFam[],2,FALSE))))</f>
        <v>60</v>
      </c>
      <c r="L392" s="1">
        <v>60</v>
      </c>
      <c r="M392" s="1">
        <v>6</v>
      </c>
      <c r="N392" s="7">
        <f>IFERROR(Data[[#This Row],[Actual Time]]/Data[[#This Row],[QTY Complete]],"")</f>
        <v>10</v>
      </c>
      <c r="O392" s="7">
        <f>IF(I392=ProdFam[[#Headers],[Test]],(VLOOKUP(Data[[#This Row],[Product Family]],ProdFam[],3,FALSE)),(VLOOKUP(Data[[#This Row],[Product Family]],ProdFam[],2,FALSE)))</f>
        <v>10</v>
      </c>
    </row>
    <row r="393" spans="2:15" x14ac:dyDescent="0.25">
      <c r="B393" s="1">
        <f>WEEKNUM(Data[[#This Row],[Date]],1)</f>
        <v>45</v>
      </c>
      <c r="C393" s="15">
        <f>YEAR(Data[[#This Row],[Date]])</f>
        <v>2019</v>
      </c>
      <c r="D393" s="5">
        <v>43776</v>
      </c>
      <c r="E393" s="1" t="s">
        <v>111</v>
      </c>
      <c r="F393" s="1">
        <v>28952</v>
      </c>
      <c r="G393" s="1" t="s">
        <v>58</v>
      </c>
      <c r="H393" s="1" t="s">
        <v>112</v>
      </c>
      <c r="I393" s="1" t="s">
        <v>1</v>
      </c>
      <c r="J393" s="1">
        <v>12</v>
      </c>
      <c r="K393" s="1">
        <f>J393*(IF(I393=ProdFam[[#Headers],[Test]],(VLOOKUP(Data[[#This Row],[Product Family]],ProdFam[],3,FALSE)),(VLOOKUP(Data[[#This Row],[Product Family]],ProdFam[],2,FALSE))))</f>
        <v>120</v>
      </c>
      <c r="L393" s="1">
        <v>120</v>
      </c>
      <c r="M393" s="1">
        <v>12</v>
      </c>
      <c r="N393" s="7">
        <f>IFERROR(Data[[#This Row],[Actual Time]]/Data[[#This Row],[QTY Complete]],"")</f>
        <v>10</v>
      </c>
      <c r="O393" s="7">
        <f>IF(I393=ProdFam[[#Headers],[Test]],(VLOOKUP(Data[[#This Row],[Product Family]],ProdFam[],3,FALSE)),(VLOOKUP(Data[[#This Row],[Product Family]],ProdFam[],2,FALSE)))</f>
        <v>10</v>
      </c>
    </row>
    <row r="394" spans="2:15" x14ac:dyDescent="0.25">
      <c r="B394" s="1">
        <f>WEEKNUM(Data[[#This Row],[Date]],1)</f>
        <v>45</v>
      </c>
      <c r="C394" s="15">
        <f>YEAR(Data[[#This Row],[Date]])</f>
        <v>2019</v>
      </c>
      <c r="D394" s="5">
        <v>43776</v>
      </c>
      <c r="E394" s="1" t="s">
        <v>111</v>
      </c>
      <c r="F394" s="1">
        <v>28969</v>
      </c>
      <c r="G394" s="1" t="s">
        <v>6</v>
      </c>
      <c r="H394" s="1" t="s">
        <v>112</v>
      </c>
      <c r="I394" s="1" t="s">
        <v>1</v>
      </c>
      <c r="J394" s="1">
        <v>3</v>
      </c>
      <c r="K394" s="1">
        <f>J394*(IF(I394=ProdFam[[#Headers],[Test]],(VLOOKUP(Data[[#This Row],[Product Family]],ProdFam[],3,FALSE)),(VLOOKUP(Data[[#This Row],[Product Family]],ProdFam[],2,FALSE))))</f>
        <v>30</v>
      </c>
      <c r="L394" s="1">
        <v>30</v>
      </c>
      <c r="M394" s="1">
        <v>3</v>
      </c>
      <c r="N394" s="7">
        <f>IFERROR(Data[[#This Row],[Actual Time]]/Data[[#This Row],[QTY Complete]],"")</f>
        <v>10</v>
      </c>
      <c r="O394" s="7">
        <f>IF(I394=ProdFam[[#Headers],[Test]],(VLOOKUP(Data[[#This Row],[Product Family]],ProdFam[],3,FALSE)),(VLOOKUP(Data[[#This Row],[Product Family]],ProdFam[],2,FALSE)))</f>
        <v>10</v>
      </c>
    </row>
    <row r="395" spans="2:15" x14ac:dyDescent="0.25">
      <c r="B395" s="1">
        <f>WEEKNUM(Data[[#This Row],[Date]],1)</f>
        <v>45</v>
      </c>
      <c r="C395" s="15">
        <f>YEAR(Data[[#This Row],[Date]])</f>
        <v>2019</v>
      </c>
      <c r="D395" s="5">
        <v>43776</v>
      </c>
      <c r="E395" s="1" t="s">
        <v>111</v>
      </c>
      <c r="F395" s="1">
        <v>28941</v>
      </c>
      <c r="G395" s="1" t="s">
        <v>79</v>
      </c>
      <c r="H395" s="1" t="s">
        <v>112</v>
      </c>
      <c r="I395" s="1" t="s">
        <v>1</v>
      </c>
      <c r="J395" s="1">
        <v>12</v>
      </c>
      <c r="K395" s="1">
        <f>J395*(IF(I395=ProdFam[[#Headers],[Test]],(VLOOKUP(Data[[#This Row],[Product Family]],ProdFam[],3,FALSE)),(VLOOKUP(Data[[#This Row],[Product Family]],ProdFam[],2,FALSE))))</f>
        <v>120</v>
      </c>
      <c r="L395" s="1">
        <v>75</v>
      </c>
      <c r="M395" s="1">
        <v>12</v>
      </c>
      <c r="N395" s="7">
        <f>IFERROR(Data[[#This Row],[Actual Time]]/Data[[#This Row],[QTY Complete]],"")</f>
        <v>6.25</v>
      </c>
      <c r="O395" s="7">
        <f>IF(I395=ProdFam[[#Headers],[Test]],(VLOOKUP(Data[[#This Row],[Product Family]],ProdFam[],3,FALSE)),(VLOOKUP(Data[[#This Row],[Product Family]],ProdFam[],2,FALSE)))</f>
        <v>10</v>
      </c>
    </row>
    <row r="396" spans="2:15" x14ac:dyDescent="0.25">
      <c r="B396" s="1">
        <f>WEEKNUM(Data[[#This Row],[Date]],1)</f>
        <v>45</v>
      </c>
      <c r="C396" s="15">
        <f>YEAR(Data[[#This Row],[Date]])</f>
        <v>2019</v>
      </c>
      <c r="D396" s="5">
        <v>43775</v>
      </c>
      <c r="E396" s="1" t="s">
        <v>111</v>
      </c>
      <c r="F396" s="1">
        <v>28949</v>
      </c>
      <c r="G396" s="1" t="s">
        <v>2</v>
      </c>
      <c r="H396" s="1" t="s">
        <v>112</v>
      </c>
      <c r="I396" s="1" t="s">
        <v>1</v>
      </c>
      <c r="J396" s="1">
        <v>9</v>
      </c>
      <c r="K396" s="1">
        <f>J396*(IF(I396=ProdFam[[#Headers],[Test]],(VLOOKUP(Data[[#This Row],[Product Family]],ProdFam[],3,FALSE)),(VLOOKUP(Data[[#This Row],[Product Family]],ProdFam[],2,FALSE))))</f>
        <v>90</v>
      </c>
      <c r="L396" s="1">
        <v>60</v>
      </c>
      <c r="M396" s="1">
        <v>9</v>
      </c>
      <c r="N396" s="7">
        <f>IFERROR(Data[[#This Row],[Actual Time]]/Data[[#This Row],[QTY Complete]],"")</f>
        <v>6.666666666666667</v>
      </c>
      <c r="O396" s="7">
        <f>IF(I396=ProdFam[[#Headers],[Test]],(VLOOKUP(Data[[#This Row],[Product Family]],ProdFam[],3,FALSE)),(VLOOKUP(Data[[#This Row],[Product Family]],ProdFam[],2,FALSE)))</f>
        <v>10</v>
      </c>
    </row>
    <row r="397" spans="2:15" x14ac:dyDescent="0.25">
      <c r="B397" s="1">
        <f>WEEKNUM(Data[[#This Row],[Date]],1)</f>
        <v>45</v>
      </c>
      <c r="C397" s="15">
        <f>YEAR(Data[[#This Row],[Date]])</f>
        <v>2019</v>
      </c>
      <c r="D397" s="5">
        <v>43775</v>
      </c>
      <c r="E397" s="1" t="s">
        <v>111</v>
      </c>
      <c r="F397" s="1">
        <v>28965</v>
      </c>
      <c r="G397" s="1" t="s">
        <v>32</v>
      </c>
      <c r="H397" s="1" t="s">
        <v>112</v>
      </c>
      <c r="I397" s="1" t="s">
        <v>1</v>
      </c>
      <c r="J397" s="1">
        <v>9</v>
      </c>
      <c r="K397" s="1">
        <f>J397*(IF(I397=ProdFam[[#Headers],[Test]],(VLOOKUP(Data[[#This Row],[Product Family]],ProdFam[],3,FALSE)),(VLOOKUP(Data[[#This Row],[Product Family]],ProdFam[],2,FALSE))))</f>
        <v>90</v>
      </c>
      <c r="L397" s="1">
        <v>90</v>
      </c>
      <c r="M397" s="1">
        <v>9</v>
      </c>
      <c r="N397" s="7">
        <f>IFERROR(Data[[#This Row],[Actual Time]]/Data[[#This Row],[QTY Complete]],"")</f>
        <v>10</v>
      </c>
      <c r="O397" s="7">
        <f>IF(I397=ProdFam[[#Headers],[Test]],(VLOOKUP(Data[[#This Row],[Product Family]],ProdFam[],3,FALSE)),(VLOOKUP(Data[[#This Row],[Product Family]],ProdFam[],2,FALSE)))</f>
        <v>10</v>
      </c>
    </row>
    <row r="398" spans="2:15" x14ac:dyDescent="0.25">
      <c r="B398" s="1">
        <f>WEEKNUM(Data[[#This Row],[Date]],1)</f>
        <v>45</v>
      </c>
      <c r="C398" s="15">
        <f>YEAR(Data[[#This Row],[Date]])</f>
        <v>2019</v>
      </c>
      <c r="D398" s="5">
        <v>43775</v>
      </c>
      <c r="E398" s="1" t="s">
        <v>111</v>
      </c>
      <c r="F398" s="1">
        <v>28941</v>
      </c>
      <c r="G398" s="1" t="s">
        <v>79</v>
      </c>
      <c r="H398" s="1" t="s">
        <v>112</v>
      </c>
      <c r="I398" s="1" t="s">
        <v>1</v>
      </c>
      <c r="J398" s="1">
        <v>10</v>
      </c>
      <c r="K398" s="1">
        <f>J398*(IF(I398=ProdFam[[#Headers],[Test]],(VLOOKUP(Data[[#This Row],[Product Family]],ProdFam[],3,FALSE)),(VLOOKUP(Data[[#This Row],[Product Family]],ProdFam[],2,FALSE))))</f>
        <v>100</v>
      </c>
      <c r="L398" s="1">
        <v>120</v>
      </c>
      <c r="M398" s="1">
        <v>10</v>
      </c>
      <c r="N398" s="7">
        <f>IFERROR(Data[[#This Row],[Actual Time]]/Data[[#This Row],[QTY Complete]],"")</f>
        <v>12</v>
      </c>
      <c r="O398" s="7">
        <f>IF(I398=ProdFam[[#Headers],[Test]],(VLOOKUP(Data[[#This Row],[Product Family]],ProdFam[],3,FALSE)),(VLOOKUP(Data[[#This Row],[Product Family]],ProdFam[],2,FALSE)))</f>
        <v>10</v>
      </c>
    </row>
    <row r="399" spans="2:15" x14ac:dyDescent="0.25">
      <c r="B399" s="1">
        <f>WEEKNUM(Data[[#This Row],[Date]],1)</f>
        <v>45</v>
      </c>
      <c r="C399" s="15">
        <f>YEAR(Data[[#This Row],[Date]])</f>
        <v>2019</v>
      </c>
      <c r="D399" s="5">
        <v>43773</v>
      </c>
      <c r="E399" s="1" t="s">
        <v>111</v>
      </c>
      <c r="F399" s="1">
        <v>28823</v>
      </c>
      <c r="G399" s="1" t="s">
        <v>49</v>
      </c>
      <c r="H399" s="1" t="s">
        <v>112</v>
      </c>
      <c r="I399" s="1" t="s">
        <v>1</v>
      </c>
      <c r="J399" s="1">
        <v>12</v>
      </c>
      <c r="K399" s="1">
        <f>J399*(IF(I399=ProdFam[[#Headers],[Test]],(VLOOKUP(Data[[#This Row],[Product Family]],ProdFam[],3,FALSE)),(VLOOKUP(Data[[#This Row],[Product Family]],ProdFam[],2,FALSE))))</f>
        <v>120</v>
      </c>
      <c r="L399" s="1">
        <v>90</v>
      </c>
      <c r="M399" s="1">
        <v>12</v>
      </c>
      <c r="N399" s="7">
        <f>IFERROR(Data[[#This Row],[Actual Time]]/Data[[#This Row],[QTY Complete]],"")</f>
        <v>7.5</v>
      </c>
      <c r="O399" s="7">
        <f>IF(I399=ProdFam[[#Headers],[Test]],(VLOOKUP(Data[[#This Row],[Product Family]],ProdFam[],3,FALSE)),(VLOOKUP(Data[[#This Row],[Product Family]],ProdFam[],2,FALSE)))</f>
        <v>10</v>
      </c>
    </row>
    <row r="400" spans="2:15" x14ac:dyDescent="0.25">
      <c r="B400" s="1">
        <f>WEEKNUM(Data[[#This Row],[Date]],1)</f>
        <v>45</v>
      </c>
      <c r="C400" s="15">
        <f>YEAR(Data[[#This Row],[Date]])</f>
        <v>2019</v>
      </c>
      <c r="D400" s="5">
        <v>43773</v>
      </c>
      <c r="E400" s="1" t="s">
        <v>111</v>
      </c>
      <c r="F400" s="1">
        <v>28946</v>
      </c>
      <c r="G400" s="1" t="s">
        <v>79</v>
      </c>
      <c r="H400" s="1" t="s">
        <v>112</v>
      </c>
      <c r="I400" s="1" t="s">
        <v>1</v>
      </c>
      <c r="J400" s="1">
        <v>12</v>
      </c>
      <c r="K400" s="1">
        <f>J400*(IF(I400=ProdFam[[#Headers],[Test]],(VLOOKUP(Data[[#This Row],[Product Family]],ProdFam[],3,FALSE)),(VLOOKUP(Data[[#This Row],[Product Family]],ProdFam[],2,FALSE))))</f>
        <v>120</v>
      </c>
      <c r="L400" s="1">
        <v>90</v>
      </c>
      <c r="M400" s="1">
        <v>12</v>
      </c>
      <c r="N400" s="7">
        <f>IFERROR(Data[[#This Row],[Actual Time]]/Data[[#This Row],[QTY Complete]],"")</f>
        <v>7.5</v>
      </c>
      <c r="O400" s="7">
        <f>IF(I400=ProdFam[[#Headers],[Test]],(VLOOKUP(Data[[#This Row],[Product Family]],ProdFam[],3,FALSE)),(VLOOKUP(Data[[#This Row],[Product Family]],ProdFam[],2,FALSE)))</f>
        <v>10</v>
      </c>
    </row>
    <row r="401" spans="2:15" x14ac:dyDescent="0.25">
      <c r="B401" s="1">
        <f>WEEKNUM(Data[[#This Row],[Date]],1)</f>
        <v>45</v>
      </c>
      <c r="C401" s="15">
        <f>YEAR(Data[[#This Row],[Date]])</f>
        <v>2019</v>
      </c>
      <c r="D401" s="5">
        <v>43773</v>
      </c>
      <c r="E401" s="1" t="s">
        <v>111</v>
      </c>
      <c r="F401" s="1">
        <v>28852</v>
      </c>
      <c r="G401" s="1" t="s">
        <v>13</v>
      </c>
      <c r="H401" s="1" t="s">
        <v>113</v>
      </c>
      <c r="I401" s="1" t="s">
        <v>1</v>
      </c>
      <c r="J401" s="1">
        <v>4</v>
      </c>
      <c r="K401" s="1">
        <f>J401*(IF(I401=ProdFam[[#Headers],[Test]],(VLOOKUP(Data[[#This Row],[Product Family]],ProdFam[],3,FALSE)),(VLOOKUP(Data[[#This Row],[Product Family]],ProdFam[],2,FALSE))))</f>
        <v>128</v>
      </c>
      <c r="L401" s="1">
        <v>120</v>
      </c>
      <c r="M401" s="1">
        <v>4</v>
      </c>
      <c r="N401" s="7">
        <f>IFERROR(Data[[#This Row],[Actual Time]]/Data[[#This Row],[QTY Complete]],"")</f>
        <v>30</v>
      </c>
      <c r="O401" s="7">
        <f>IF(I401=ProdFam[[#Headers],[Test]],(VLOOKUP(Data[[#This Row],[Product Family]],ProdFam[],3,FALSE)),(VLOOKUP(Data[[#This Row],[Product Family]],ProdFam[],2,FALSE)))</f>
        <v>32</v>
      </c>
    </row>
    <row r="402" spans="2:15" x14ac:dyDescent="0.25">
      <c r="B402" s="1">
        <f>WEEKNUM(Data[[#This Row],[Date]],1)</f>
        <v>45</v>
      </c>
      <c r="C402" s="15">
        <f>YEAR(Data[[#This Row],[Date]])</f>
        <v>2019</v>
      </c>
      <c r="D402" s="5">
        <v>43773</v>
      </c>
      <c r="E402" s="1" t="s">
        <v>111</v>
      </c>
      <c r="F402" s="1">
        <v>28953</v>
      </c>
      <c r="G402" s="1" t="s">
        <v>9</v>
      </c>
      <c r="H402" s="1" t="s">
        <v>112</v>
      </c>
      <c r="I402" s="1" t="s">
        <v>1</v>
      </c>
      <c r="J402" s="1">
        <v>9</v>
      </c>
      <c r="K402" s="1">
        <f>J402*(IF(I402=ProdFam[[#Headers],[Test]],(VLOOKUP(Data[[#This Row],[Product Family]],ProdFam[],3,FALSE)),(VLOOKUP(Data[[#This Row],[Product Family]],ProdFam[],2,FALSE))))</f>
        <v>90</v>
      </c>
      <c r="L402" s="1">
        <v>60</v>
      </c>
      <c r="M402" s="1">
        <v>9</v>
      </c>
      <c r="N402" s="7">
        <f>IFERROR(Data[[#This Row],[Actual Time]]/Data[[#This Row],[QTY Complete]],"")</f>
        <v>6.666666666666667</v>
      </c>
      <c r="O402" s="7">
        <f>IF(I402=ProdFam[[#Headers],[Test]],(VLOOKUP(Data[[#This Row],[Product Family]],ProdFam[],3,FALSE)),(VLOOKUP(Data[[#This Row],[Product Family]],ProdFam[],2,FALSE)))</f>
        <v>10</v>
      </c>
    </row>
    <row r="403" spans="2:15" x14ac:dyDescent="0.25">
      <c r="B403" s="1">
        <f>WEEKNUM(Data[[#This Row],[Date]],1)</f>
        <v>45</v>
      </c>
      <c r="C403" s="15">
        <f>YEAR(Data[[#This Row],[Date]])</f>
        <v>2019</v>
      </c>
      <c r="D403" s="5">
        <v>43774</v>
      </c>
      <c r="E403" s="1" t="s">
        <v>111</v>
      </c>
      <c r="F403" s="1">
        <v>28947</v>
      </c>
      <c r="G403" s="1" t="s">
        <v>25</v>
      </c>
      <c r="H403" s="1" t="s">
        <v>113</v>
      </c>
      <c r="I403" s="1" t="s">
        <v>1</v>
      </c>
      <c r="J403" s="1">
        <v>10</v>
      </c>
      <c r="K403" s="1">
        <f>J403*(IF(I403=ProdFam[[#Headers],[Test]],(VLOOKUP(Data[[#This Row],[Product Family]],ProdFam[],3,FALSE)),(VLOOKUP(Data[[#This Row],[Product Family]],ProdFam[],2,FALSE))))</f>
        <v>320</v>
      </c>
      <c r="L403" s="1">
        <v>380</v>
      </c>
      <c r="M403" s="1">
        <v>10</v>
      </c>
      <c r="N403" s="7">
        <f>IFERROR(Data[[#This Row],[Actual Time]]/Data[[#This Row],[QTY Complete]],"")</f>
        <v>38</v>
      </c>
      <c r="O403" s="7">
        <f>IF(I403=ProdFam[[#Headers],[Test]],(VLOOKUP(Data[[#This Row],[Product Family]],ProdFam[],3,FALSE)),(VLOOKUP(Data[[#This Row],[Product Family]],ProdFam[],2,FALSE)))</f>
        <v>32</v>
      </c>
    </row>
    <row r="404" spans="2:15" x14ac:dyDescent="0.25">
      <c r="B404" s="1">
        <f>WEEKNUM(Data[[#This Row],[Date]],1)</f>
        <v>45</v>
      </c>
      <c r="C404" s="15">
        <f>YEAR(Data[[#This Row],[Date]])</f>
        <v>2019</v>
      </c>
      <c r="D404" s="5">
        <v>43773</v>
      </c>
      <c r="E404" s="1" t="s">
        <v>131</v>
      </c>
      <c r="F404" s="1">
        <v>28947</v>
      </c>
      <c r="G404" s="1" t="s">
        <v>25</v>
      </c>
      <c r="H404" s="1" t="s">
        <v>113</v>
      </c>
      <c r="I404" s="1" t="s">
        <v>0</v>
      </c>
      <c r="J404" s="1">
        <v>10</v>
      </c>
      <c r="K404" s="1">
        <f>J404*(IF(I404=ProdFam[[#Headers],[Test]],(VLOOKUP(Data[[#This Row],[Product Family]],ProdFam[],3,FALSE)),(VLOOKUP(Data[[#This Row],[Product Family]],ProdFam[],2,FALSE))))</f>
        <v>470</v>
      </c>
      <c r="L404" s="1">
        <v>74</v>
      </c>
      <c r="M404" s="1">
        <v>10</v>
      </c>
      <c r="N404" s="7">
        <f>IFERROR(Data[[#This Row],[Actual Time]]/Data[[#This Row],[QTY Complete]],"")</f>
        <v>7.4</v>
      </c>
      <c r="O404" s="7">
        <f>IF(I404=ProdFam[[#Headers],[Test]],(VLOOKUP(Data[[#This Row],[Product Family]],ProdFam[],3,FALSE)),(VLOOKUP(Data[[#This Row],[Product Family]],ProdFam[],2,FALSE)))</f>
        <v>47</v>
      </c>
    </row>
    <row r="405" spans="2:15" x14ac:dyDescent="0.25">
      <c r="B405" s="1">
        <f>WEEKNUM(Data[[#This Row],[Date]],1)</f>
        <v>45</v>
      </c>
      <c r="C405" s="15">
        <f>YEAR(Data[[#This Row],[Date]])</f>
        <v>2019</v>
      </c>
      <c r="D405" s="5">
        <v>43773</v>
      </c>
      <c r="E405" s="1" t="s">
        <v>131</v>
      </c>
      <c r="F405" s="1">
        <v>28945</v>
      </c>
      <c r="G405" s="1" t="s">
        <v>25</v>
      </c>
      <c r="H405" s="1" t="s">
        <v>113</v>
      </c>
      <c r="I405" s="1" t="s">
        <v>0</v>
      </c>
      <c r="J405" s="1">
        <v>2</v>
      </c>
      <c r="K405" s="1">
        <f>J405*(IF(I405=ProdFam[[#Headers],[Test]],(VLOOKUP(Data[[#This Row],[Product Family]],ProdFam[],3,FALSE)),(VLOOKUP(Data[[#This Row],[Product Family]],ProdFam[],2,FALSE))))</f>
        <v>94</v>
      </c>
      <c r="L405" s="1">
        <v>160</v>
      </c>
      <c r="M405" s="1">
        <v>2</v>
      </c>
      <c r="N405" s="7">
        <f>IFERROR(Data[[#This Row],[Actual Time]]/Data[[#This Row],[QTY Complete]],"")</f>
        <v>80</v>
      </c>
      <c r="O405" s="7">
        <f>IF(I405=ProdFam[[#Headers],[Test]],(VLOOKUP(Data[[#This Row],[Product Family]],ProdFam[],3,FALSE)),(VLOOKUP(Data[[#This Row],[Product Family]],ProdFam[],2,FALSE)))</f>
        <v>47</v>
      </c>
    </row>
    <row r="406" spans="2:15" x14ac:dyDescent="0.25">
      <c r="B406" s="1">
        <f>WEEKNUM(Data[[#This Row],[Date]],1)</f>
        <v>45</v>
      </c>
      <c r="C406" s="15">
        <f>YEAR(Data[[#This Row],[Date]])</f>
        <v>2019</v>
      </c>
      <c r="D406" s="5">
        <v>43773</v>
      </c>
      <c r="E406" s="1" t="s">
        <v>131</v>
      </c>
      <c r="F406" s="1">
        <v>28959</v>
      </c>
      <c r="G406" s="1" t="s">
        <v>25</v>
      </c>
      <c r="H406" s="1" t="s">
        <v>113</v>
      </c>
      <c r="I406" s="1" t="s">
        <v>0</v>
      </c>
      <c r="J406" s="1">
        <v>10</v>
      </c>
      <c r="K406" s="1">
        <f>J406*(IF(I406=ProdFam[[#Headers],[Test]],(VLOOKUP(Data[[#This Row],[Product Family]],ProdFam[],3,FALSE)),(VLOOKUP(Data[[#This Row],[Product Family]],ProdFam[],2,FALSE))))</f>
        <v>470</v>
      </c>
      <c r="L406" s="1">
        <v>150</v>
      </c>
      <c r="M406" s="1">
        <v>0</v>
      </c>
      <c r="N406" s="7" t="str">
        <f>IFERROR(Data[[#This Row],[Actual Time]]/Data[[#This Row],[QTY Complete]],"")</f>
        <v/>
      </c>
      <c r="O406" s="7">
        <f>IF(I406=ProdFam[[#Headers],[Test]],(VLOOKUP(Data[[#This Row],[Product Family]],ProdFam[],3,FALSE)),(VLOOKUP(Data[[#This Row],[Product Family]],ProdFam[],2,FALSE)))</f>
        <v>47</v>
      </c>
    </row>
    <row r="407" spans="2:15" x14ac:dyDescent="0.25">
      <c r="B407" s="1">
        <f>WEEKNUM(Data[[#This Row],[Date]],1)</f>
        <v>45</v>
      </c>
      <c r="C407" s="15">
        <f>YEAR(Data[[#This Row],[Date]])</f>
        <v>2019</v>
      </c>
      <c r="D407" s="5">
        <v>43773</v>
      </c>
      <c r="E407" s="1" t="s">
        <v>118</v>
      </c>
      <c r="F407" s="1">
        <v>28852</v>
      </c>
      <c r="G407" s="1" t="s">
        <v>13</v>
      </c>
      <c r="H407" s="1" t="s">
        <v>113</v>
      </c>
      <c r="I407" s="1" t="s">
        <v>0</v>
      </c>
      <c r="J407" s="1">
        <v>4</v>
      </c>
      <c r="K407" s="1">
        <f>J407*(IF(I407=ProdFam[[#Headers],[Test]],(VLOOKUP(Data[[#This Row],[Product Family]],ProdFam[],3,FALSE)),(VLOOKUP(Data[[#This Row],[Product Family]],ProdFam[],2,FALSE))))</f>
        <v>188</v>
      </c>
      <c r="L407" s="1">
        <v>135</v>
      </c>
      <c r="M407" s="1">
        <v>4</v>
      </c>
      <c r="N407" s="7">
        <f>IFERROR(Data[[#This Row],[Actual Time]]/Data[[#This Row],[QTY Complete]],"")</f>
        <v>33.75</v>
      </c>
      <c r="O407" s="7">
        <f>IF(I407=ProdFam[[#Headers],[Test]],(VLOOKUP(Data[[#This Row],[Product Family]],ProdFam[],3,FALSE)),(VLOOKUP(Data[[#This Row],[Product Family]],ProdFam[],2,FALSE)))</f>
        <v>47</v>
      </c>
    </row>
    <row r="408" spans="2:15" x14ac:dyDescent="0.25">
      <c r="B408" s="1">
        <f>WEEKNUM(Data[[#This Row],[Date]],1)</f>
        <v>45</v>
      </c>
      <c r="C408" s="15">
        <f>YEAR(Data[[#This Row],[Date]])</f>
        <v>2019</v>
      </c>
      <c r="D408" s="5">
        <v>43773</v>
      </c>
      <c r="E408" s="1" t="s">
        <v>118</v>
      </c>
      <c r="F408" s="1">
        <v>28725</v>
      </c>
      <c r="G408" s="1" t="s">
        <v>26</v>
      </c>
      <c r="H408" s="1" t="s">
        <v>113</v>
      </c>
      <c r="I408" s="1" t="s">
        <v>0</v>
      </c>
      <c r="J408" s="1">
        <v>4</v>
      </c>
      <c r="K408" s="1">
        <f>J408*(IF(I408=ProdFam[[#Headers],[Test]],(VLOOKUP(Data[[#This Row],[Product Family]],ProdFam[],3,FALSE)),(VLOOKUP(Data[[#This Row],[Product Family]],ProdFam[],2,FALSE))))</f>
        <v>188</v>
      </c>
      <c r="L408" s="1">
        <v>340</v>
      </c>
      <c r="M408" s="1">
        <v>4</v>
      </c>
      <c r="N408" s="7">
        <f>IFERROR(Data[[#This Row],[Actual Time]]/Data[[#This Row],[QTY Complete]],"")</f>
        <v>85</v>
      </c>
      <c r="O408" s="7">
        <f>IF(I408=ProdFam[[#Headers],[Test]],(VLOOKUP(Data[[#This Row],[Product Family]],ProdFam[],3,FALSE)),(VLOOKUP(Data[[#This Row],[Product Family]],ProdFam[],2,FALSE)))</f>
        <v>47</v>
      </c>
    </row>
    <row r="409" spans="2:15" x14ac:dyDescent="0.25">
      <c r="B409" s="1">
        <f>WEEKNUM(Data[[#This Row],[Date]],1)</f>
        <v>45</v>
      </c>
      <c r="C409" s="15">
        <f>YEAR(Data[[#This Row],[Date]])</f>
        <v>2019</v>
      </c>
      <c r="D409" s="5">
        <v>43773</v>
      </c>
      <c r="E409" s="1" t="s">
        <v>128</v>
      </c>
      <c r="F409" s="1">
        <v>61567</v>
      </c>
      <c r="G409" s="1" t="s">
        <v>25</v>
      </c>
      <c r="H409" s="1" t="s">
        <v>162</v>
      </c>
      <c r="I409" s="1" t="s">
        <v>0</v>
      </c>
      <c r="J409" s="1">
        <v>1</v>
      </c>
      <c r="K409" s="1">
        <f>J409*(IF(I409=ProdFam[[#Headers],[Test]],(VLOOKUP(Data[[#This Row],[Product Family]],ProdFam[],3,FALSE)),(VLOOKUP(Data[[#This Row],[Product Family]],ProdFam[],2,FALSE))))</f>
        <v>10</v>
      </c>
      <c r="L409" s="1">
        <v>15</v>
      </c>
      <c r="M409" s="1">
        <v>1</v>
      </c>
      <c r="N409" s="7">
        <f>IFERROR(Data[[#This Row],[Actual Time]]/Data[[#This Row],[QTY Complete]],"")</f>
        <v>15</v>
      </c>
      <c r="O409" s="7">
        <f>IF(I409=ProdFam[[#Headers],[Test]],(VLOOKUP(Data[[#This Row],[Product Family]],ProdFam[],3,FALSE)),(VLOOKUP(Data[[#This Row],[Product Family]],ProdFam[],2,FALSE)))</f>
        <v>10</v>
      </c>
    </row>
    <row r="410" spans="2:15" x14ac:dyDescent="0.25">
      <c r="B410" s="1">
        <f>WEEKNUM(Data[[#This Row],[Date]],1)</f>
        <v>45</v>
      </c>
      <c r="C410" s="15">
        <f>YEAR(Data[[#This Row],[Date]])</f>
        <v>2019</v>
      </c>
      <c r="D410" s="5">
        <v>43773</v>
      </c>
      <c r="E410" s="1" t="s">
        <v>128</v>
      </c>
      <c r="F410" s="1">
        <v>61570</v>
      </c>
      <c r="G410" s="1" t="s">
        <v>50</v>
      </c>
      <c r="H410" s="1" t="s">
        <v>162</v>
      </c>
      <c r="I410" s="1" t="s">
        <v>0</v>
      </c>
      <c r="J410" s="1">
        <v>1</v>
      </c>
      <c r="K410" s="1">
        <f>J410*(IF(I410=ProdFam[[#Headers],[Test]],(VLOOKUP(Data[[#This Row],[Product Family]],ProdFam[],3,FALSE)),(VLOOKUP(Data[[#This Row],[Product Family]],ProdFam[],2,FALSE))))</f>
        <v>10</v>
      </c>
      <c r="L410" s="1">
        <v>18</v>
      </c>
      <c r="M410" s="1">
        <v>1</v>
      </c>
      <c r="N410" s="7">
        <f>IFERROR(Data[[#This Row],[Actual Time]]/Data[[#This Row],[QTY Complete]],"")</f>
        <v>18</v>
      </c>
      <c r="O410" s="7">
        <f>IF(I410=ProdFam[[#Headers],[Test]],(VLOOKUP(Data[[#This Row],[Product Family]],ProdFam[],3,FALSE)),(VLOOKUP(Data[[#This Row],[Product Family]],ProdFam[],2,FALSE)))</f>
        <v>10</v>
      </c>
    </row>
    <row r="411" spans="2:15" x14ac:dyDescent="0.25">
      <c r="B411" s="1">
        <f>WEEKNUM(Data[[#This Row],[Date]],1)</f>
        <v>45</v>
      </c>
      <c r="C411" s="15">
        <f>YEAR(Data[[#This Row],[Date]])</f>
        <v>2019</v>
      </c>
      <c r="D411" s="5">
        <v>43773</v>
      </c>
      <c r="E411" s="1" t="s">
        <v>128</v>
      </c>
      <c r="F411" s="1">
        <v>61738</v>
      </c>
      <c r="G411" s="1" t="s">
        <v>50</v>
      </c>
      <c r="H411" s="1" t="s">
        <v>162</v>
      </c>
      <c r="I411" s="1" t="s">
        <v>0</v>
      </c>
      <c r="J411" s="1">
        <v>1</v>
      </c>
      <c r="K411" s="1">
        <f>J411*(IF(I411=ProdFam[[#Headers],[Test]],(VLOOKUP(Data[[#This Row],[Product Family]],ProdFam[],3,FALSE)),(VLOOKUP(Data[[#This Row],[Product Family]],ProdFam[],2,FALSE))))</f>
        <v>10</v>
      </c>
      <c r="L411" s="1">
        <v>12</v>
      </c>
      <c r="M411" s="1">
        <v>1</v>
      </c>
      <c r="N411" s="7">
        <f>IFERROR(Data[[#This Row],[Actual Time]]/Data[[#This Row],[QTY Complete]],"")</f>
        <v>12</v>
      </c>
      <c r="O411" s="7">
        <f>IF(I411=ProdFam[[#Headers],[Test]],(VLOOKUP(Data[[#This Row],[Product Family]],ProdFam[],3,FALSE)),(VLOOKUP(Data[[#This Row],[Product Family]],ProdFam[],2,FALSE)))</f>
        <v>10</v>
      </c>
    </row>
    <row r="412" spans="2:15" x14ac:dyDescent="0.25">
      <c r="B412" s="1">
        <f>WEEKNUM(Data[[#This Row],[Date]],1)</f>
        <v>45</v>
      </c>
      <c r="C412" s="15">
        <f>YEAR(Data[[#This Row],[Date]])</f>
        <v>2019</v>
      </c>
      <c r="D412" s="5">
        <v>43773</v>
      </c>
      <c r="E412" s="1" t="s">
        <v>128</v>
      </c>
      <c r="F412" s="1">
        <v>61654</v>
      </c>
      <c r="G412" s="1" t="s">
        <v>50</v>
      </c>
      <c r="H412" s="1" t="s">
        <v>162</v>
      </c>
      <c r="I412" s="1" t="s">
        <v>0</v>
      </c>
      <c r="J412" s="1">
        <v>1</v>
      </c>
      <c r="K412" s="1">
        <f>J412*(IF(I412=ProdFam[[#Headers],[Test]],(VLOOKUP(Data[[#This Row],[Product Family]],ProdFam[],3,FALSE)),(VLOOKUP(Data[[#This Row],[Product Family]],ProdFam[],2,FALSE))))</f>
        <v>10</v>
      </c>
      <c r="L412" s="1">
        <v>11</v>
      </c>
      <c r="M412" s="1">
        <v>1</v>
      </c>
      <c r="N412" s="7">
        <f>IFERROR(Data[[#This Row],[Actual Time]]/Data[[#This Row],[QTY Complete]],"")</f>
        <v>11</v>
      </c>
      <c r="O412" s="7">
        <f>IF(I412=ProdFam[[#Headers],[Test]],(VLOOKUP(Data[[#This Row],[Product Family]],ProdFam[],3,FALSE)),(VLOOKUP(Data[[#This Row],[Product Family]],ProdFam[],2,FALSE)))</f>
        <v>10</v>
      </c>
    </row>
    <row r="413" spans="2:15" x14ac:dyDescent="0.25">
      <c r="B413" s="1">
        <f>WEEKNUM(Data[[#This Row],[Date]],1)</f>
        <v>45</v>
      </c>
      <c r="C413" s="15">
        <f>YEAR(Data[[#This Row],[Date]])</f>
        <v>2019</v>
      </c>
      <c r="D413" s="5">
        <v>43773</v>
      </c>
      <c r="E413" s="1" t="s">
        <v>128</v>
      </c>
      <c r="F413" s="1">
        <v>61817</v>
      </c>
      <c r="G413" s="1" t="s">
        <v>50</v>
      </c>
      <c r="H413" s="1" t="s">
        <v>162</v>
      </c>
      <c r="I413" s="1" t="s">
        <v>0</v>
      </c>
      <c r="J413" s="1">
        <v>1</v>
      </c>
      <c r="K413" s="1">
        <f>J413*(IF(I413=ProdFam[[#Headers],[Test]],(VLOOKUP(Data[[#This Row],[Product Family]],ProdFam[],3,FALSE)),(VLOOKUP(Data[[#This Row],[Product Family]],ProdFam[],2,FALSE))))</f>
        <v>10</v>
      </c>
      <c r="L413" s="1">
        <v>10</v>
      </c>
      <c r="M413" s="1">
        <v>1</v>
      </c>
      <c r="N413" s="7">
        <f>IFERROR(Data[[#This Row],[Actual Time]]/Data[[#This Row],[QTY Complete]],"")</f>
        <v>10</v>
      </c>
      <c r="O413" s="7">
        <f>IF(I413=ProdFam[[#Headers],[Test]],(VLOOKUP(Data[[#This Row],[Product Family]],ProdFam[],3,FALSE)),(VLOOKUP(Data[[#This Row],[Product Family]],ProdFam[],2,FALSE)))</f>
        <v>10</v>
      </c>
    </row>
    <row r="414" spans="2:15" x14ac:dyDescent="0.25">
      <c r="B414" s="1">
        <f>WEEKNUM(Data[[#This Row],[Date]],1)</f>
        <v>45</v>
      </c>
      <c r="C414" s="15">
        <f>YEAR(Data[[#This Row],[Date]])</f>
        <v>2019</v>
      </c>
      <c r="D414" s="5">
        <v>43773</v>
      </c>
      <c r="E414" s="1" t="s">
        <v>128</v>
      </c>
      <c r="F414" s="1">
        <v>61665</v>
      </c>
      <c r="G414" s="1" t="s">
        <v>25</v>
      </c>
      <c r="H414" s="1" t="s">
        <v>162</v>
      </c>
      <c r="I414" s="1" t="s">
        <v>0</v>
      </c>
      <c r="J414" s="1">
        <v>9</v>
      </c>
      <c r="K414" s="1">
        <f>J414*(IF(I414=ProdFam[[#Headers],[Test]],(VLOOKUP(Data[[#This Row],[Product Family]],ProdFam[],3,FALSE)),(VLOOKUP(Data[[#This Row],[Product Family]],ProdFam[],2,FALSE))))</f>
        <v>90</v>
      </c>
      <c r="L414" s="1">
        <v>101</v>
      </c>
      <c r="M414" s="1">
        <v>9</v>
      </c>
      <c r="N414" s="7">
        <f>IFERROR(Data[[#This Row],[Actual Time]]/Data[[#This Row],[QTY Complete]],"")</f>
        <v>11.222222222222221</v>
      </c>
      <c r="O414" s="7">
        <f>IF(I414=ProdFam[[#Headers],[Test]],(VLOOKUP(Data[[#This Row],[Product Family]],ProdFam[],3,FALSE)),(VLOOKUP(Data[[#This Row],[Product Family]],ProdFam[],2,FALSE)))</f>
        <v>10</v>
      </c>
    </row>
    <row r="415" spans="2:15" x14ac:dyDescent="0.25">
      <c r="B415" s="1">
        <f>WEEKNUM(Data[[#This Row],[Date]],1)</f>
        <v>45</v>
      </c>
      <c r="C415" s="15">
        <f>YEAR(Data[[#This Row],[Date]])</f>
        <v>2019</v>
      </c>
      <c r="D415" s="5">
        <v>43773</v>
      </c>
      <c r="E415" s="1" t="s">
        <v>128</v>
      </c>
      <c r="F415" s="1">
        <v>61931</v>
      </c>
      <c r="G415" s="1" t="s">
        <v>25</v>
      </c>
      <c r="H415" s="1" t="s">
        <v>162</v>
      </c>
      <c r="I415" s="1" t="s">
        <v>0</v>
      </c>
      <c r="J415" s="1">
        <v>1</v>
      </c>
      <c r="K415" s="1">
        <f>J415*(IF(I415=ProdFam[[#Headers],[Test]],(VLOOKUP(Data[[#This Row],[Product Family]],ProdFam[],3,FALSE)),(VLOOKUP(Data[[#This Row],[Product Family]],ProdFam[],2,FALSE))))</f>
        <v>10</v>
      </c>
      <c r="L415" s="1">
        <v>13</v>
      </c>
      <c r="M415" s="1">
        <v>1</v>
      </c>
      <c r="N415" s="7">
        <f>IFERROR(Data[[#This Row],[Actual Time]]/Data[[#This Row],[QTY Complete]],"")</f>
        <v>13</v>
      </c>
      <c r="O415" s="7">
        <f>IF(I415=ProdFam[[#Headers],[Test]],(VLOOKUP(Data[[#This Row],[Product Family]],ProdFam[],3,FALSE)),(VLOOKUP(Data[[#This Row],[Product Family]],ProdFam[],2,FALSE)))</f>
        <v>10</v>
      </c>
    </row>
    <row r="416" spans="2:15" x14ac:dyDescent="0.25">
      <c r="B416" s="1">
        <f>WEEKNUM(Data[[#This Row],[Date]],1)</f>
        <v>45</v>
      </c>
      <c r="C416" s="15">
        <f>YEAR(Data[[#This Row],[Date]])</f>
        <v>2019</v>
      </c>
      <c r="D416" s="5">
        <v>43773</v>
      </c>
      <c r="E416" s="1" t="s">
        <v>122</v>
      </c>
      <c r="F416" s="1">
        <v>28938</v>
      </c>
      <c r="G416" s="1" t="s">
        <v>82</v>
      </c>
      <c r="H416" s="1" t="s">
        <v>123</v>
      </c>
      <c r="I416" s="1" t="s">
        <v>0</v>
      </c>
      <c r="J416" s="1">
        <v>5</v>
      </c>
      <c r="K416" s="1">
        <f>J416*(IF(I416=ProdFam[[#Headers],[Test]],(VLOOKUP(Data[[#This Row],[Product Family]],ProdFam[],3,FALSE)),(VLOOKUP(Data[[#This Row],[Product Family]],ProdFam[],2,FALSE))))</f>
        <v>450</v>
      </c>
      <c r="L416" s="1">
        <v>455</v>
      </c>
      <c r="M416" s="1">
        <v>5</v>
      </c>
      <c r="N416" s="7">
        <f>IFERROR(Data[[#This Row],[Actual Time]]/Data[[#This Row],[QTY Complete]],"")</f>
        <v>91</v>
      </c>
      <c r="O416" s="7">
        <f>IF(I416=ProdFam[[#Headers],[Test]],(VLOOKUP(Data[[#This Row],[Product Family]],ProdFam[],3,FALSE)),(VLOOKUP(Data[[#This Row],[Product Family]],ProdFam[],2,FALSE)))</f>
        <v>90</v>
      </c>
    </row>
    <row r="417" spans="2:15" x14ac:dyDescent="0.25">
      <c r="B417" s="1">
        <f>WEEKNUM(Data[[#This Row],[Date]],1)</f>
        <v>45</v>
      </c>
      <c r="C417" s="15">
        <f>YEAR(Data[[#This Row],[Date]])</f>
        <v>2019</v>
      </c>
      <c r="D417" s="5">
        <v>43773</v>
      </c>
      <c r="E417" s="1" t="s">
        <v>122</v>
      </c>
      <c r="F417" s="1">
        <v>28894</v>
      </c>
      <c r="G417" s="1" t="s">
        <v>50</v>
      </c>
      <c r="H417" s="1" t="s">
        <v>113</v>
      </c>
      <c r="I417" s="1" t="s">
        <v>0</v>
      </c>
      <c r="J417" s="1">
        <v>5</v>
      </c>
      <c r="K417" s="1">
        <f>J417*(IF(I417=ProdFam[[#Headers],[Test]],(VLOOKUP(Data[[#This Row],[Product Family]],ProdFam[],3,FALSE)),(VLOOKUP(Data[[#This Row],[Product Family]],ProdFam[],2,FALSE))))</f>
        <v>235</v>
      </c>
      <c r="L417" s="1">
        <v>105</v>
      </c>
      <c r="M417" s="1">
        <v>0</v>
      </c>
      <c r="N417" s="7" t="str">
        <f>IFERROR(Data[[#This Row],[Actual Time]]/Data[[#This Row],[QTY Complete]],"")</f>
        <v/>
      </c>
      <c r="O417" s="7">
        <f>IF(I417=ProdFam[[#Headers],[Test]],(VLOOKUP(Data[[#This Row],[Product Family]],ProdFam[],3,FALSE)),(VLOOKUP(Data[[#This Row],[Product Family]],ProdFam[],2,FALSE)))</f>
        <v>47</v>
      </c>
    </row>
    <row r="418" spans="2:15" x14ac:dyDescent="0.25">
      <c r="B418" s="1">
        <f>WEEKNUM(Data[[#This Row],[Date]],1)</f>
        <v>45</v>
      </c>
      <c r="C418" s="15">
        <f>YEAR(Data[[#This Row],[Date]])</f>
        <v>2019</v>
      </c>
      <c r="D418" s="5">
        <v>43774</v>
      </c>
      <c r="E418" s="1" t="s">
        <v>118</v>
      </c>
      <c r="F418" s="1">
        <v>28967</v>
      </c>
      <c r="G418" s="1" t="s">
        <v>70</v>
      </c>
      <c r="H418" s="1" t="s">
        <v>115</v>
      </c>
      <c r="I418" s="1" t="s">
        <v>0</v>
      </c>
      <c r="J418" s="1">
        <v>3</v>
      </c>
      <c r="K418" s="1">
        <f>J418*(IF(I418=ProdFam[[#Headers],[Test]],(VLOOKUP(Data[[#This Row],[Product Family]],ProdFam[],3,FALSE)),(VLOOKUP(Data[[#This Row],[Product Family]],ProdFam[],2,FALSE))))</f>
        <v>24</v>
      </c>
      <c r="L418" s="1">
        <v>13</v>
      </c>
      <c r="M418" s="1">
        <v>3</v>
      </c>
      <c r="N418" s="7">
        <f>IFERROR(Data[[#This Row],[Actual Time]]/Data[[#This Row],[QTY Complete]],"")</f>
        <v>4.333333333333333</v>
      </c>
      <c r="O418" s="7">
        <f>IF(I418=ProdFam[[#Headers],[Test]],(VLOOKUP(Data[[#This Row],[Product Family]],ProdFam[],3,FALSE)),(VLOOKUP(Data[[#This Row],[Product Family]],ProdFam[],2,FALSE)))</f>
        <v>8</v>
      </c>
    </row>
    <row r="419" spans="2:15" x14ac:dyDescent="0.25">
      <c r="B419" s="1">
        <f>WEEKNUM(Data[[#This Row],[Date]],1)</f>
        <v>45</v>
      </c>
      <c r="C419" s="15">
        <f>YEAR(Data[[#This Row],[Date]])</f>
        <v>2019</v>
      </c>
      <c r="D419" s="5">
        <v>43774</v>
      </c>
      <c r="E419" s="1" t="s">
        <v>118</v>
      </c>
      <c r="F419" s="1">
        <v>28847</v>
      </c>
      <c r="G419" s="1" t="s">
        <v>83</v>
      </c>
      <c r="H419" s="1" t="s">
        <v>132</v>
      </c>
      <c r="I419" s="1" t="s">
        <v>0</v>
      </c>
      <c r="J419" s="1">
        <v>18</v>
      </c>
      <c r="K419" s="1">
        <f>J419*(IF(I419=ProdFam[[#Headers],[Test]],(VLOOKUP(Data[[#This Row],[Product Family]],ProdFam[],3,FALSE)),(VLOOKUP(Data[[#This Row],[Product Family]],ProdFam[],2,FALSE))))</f>
        <v>414</v>
      </c>
      <c r="L419" s="1">
        <v>450</v>
      </c>
      <c r="M419" s="1">
        <v>0</v>
      </c>
      <c r="N419" s="7" t="str">
        <f>IFERROR(Data[[#This Row],[Actual Time]]/Data[[#This Row],[QTY Complete]],"")</f>
        <v/>
      </c>
      <c r="O419" s="7">
        <f>IF(I419=ProdFam[[#Headers],[Test]],(VLOOKUP(Data[[#This Row],[Product Family]],ProdFam[],3,FALSE)),(VLOOKUP(Data[[#This Row],[Product Family]],ProdFam[],2,FALSE)))</f>
        <v>23</v>
      </c>
    </row>
    <row r="420" spans="2:15" x14ac:dyDescent="0.25">
      <c r="B420" s="1">
        <f>WEEKNUM(Data[[#This Row],[Date]],1)</f>
        <v>45</v>
      </c>
      <c r="C420" s="15">
        <f>YEAR(Data[[#This Row],[Date]])</f>
        <v>2019</v>
      </c>
      <c r="D420" s="5">
        <v>43774</v>
      </c>
      <c r="E420" s="1" t="s">
        <v>131</v>
      </c>
      <c r="F420" s="1">
        <v>28959</v>
      </c>
      <c r="G420" s="1" t="s">
        <v>25</v>
      </c>
      <c r="H420" s="1" t="s">
        <v>113</v>
      </c>
      <c r="I420" s="1" t="s">
        <v>0</v>
      </c>
      <c r="J420" s="1">
        <v>10</v>
      </c>
      <c r="K420" s="1">
        <f>J420*(IF(I420=ProdFam[[#Headers],[Test]],(VLOOKUP(Data[[#This Row],[Product Family]],ProdFam[],3,FALSE)),(VLOOKUP(Data[[#This Row],[Product Family]],ProdFam[],2,FALSE))))</f>
        <v>470</v>
      </c>
      <c r="L420" s="1">
        <v>494</v>
      </c>
      <c r="M420" s="1">
        <v>10</v>
      </c>
      <c r="N420" s="7">
        <f>IFERROR(Data[[#This Row],[Actual Time]]/Data[[#This Row],[QTY Complete]],"")</f>
        <v>49.4</v>
      </c>
      <c r="O420" s="7">
        <f>IF(I420=ProdFam[[#Headers],[Test]],(VLOOKUP(Data[[#This Row],[Product Family]],ProdFam[],3,FALSE)),(VLOOKUP(Data[[#This Row],[Product Family]],ProdFam[],2,FALSE)))</f>
        <v>47</v>
      </c>
    </row>
    <row r="421" spans="2:15" x14ac:dyDescent="0.25">
      <c r="B421" s="1">
        <f>WEEKNUM(Data[[#This Row],[Date]],1)</f>
        <v>45</v>
      </c>
      <c r="C421" s="15">
        <f>YEAR(Data[[#This Row],[Date]])</f>
        <v>2019</v>
      </c>
      <c r="D421" s="5">
        <v>43774</v>
      </c>
      <c r="E421" s="1" t="s">
        <v>128</v>
      </c>
      <c r="F421" s="1">
        <v>61806</v>
      </c>
      <c r="G421" s="1" t="s">
        <v>50</v>
      </c>
      <c r="H421" s="1" t="s">
        <v>162</v>
      </c>
      <c r="I421" s="1" t="s">
        <v>0</v>
      </c>
      <c r="J421" s="1">
        <v>1</v>
      </c>
      <c r="K421" s="1">
        <f>J421*(IF(I421=ProdFam[[#Headers],[Test]],(VLOOKUP(Data[[#This Row],[Product Family]],ProdFam[],3,FALSE)),(VLOOKUP(Data[[#This Row],[Product Family]],ProdFam[],2,FALSE))))</f>
        <v>10</v>
      </c>
      <c r="L421" s="1">
        <v>12</v>
      </c>
      <c r="M421" s="1">
        <v>1</v>
      </c>
      <c r="N421" s="7">
        <f>IFERROR(Data[[#This Row],[Actual Time]]/Data[[#This Row],[QTY Complete]],"")</f>
        <v>12</v>
      </c>
      <c r="O421" s="7">
        <f>IF(I421=ProdFam[[#Headers],[Test]],(VLOOKUP(Data[[#This Row],[Product Family]],ProdFam[],3,FALSE)),(VLOOKUP(Data[[#This Row],[Product Family]],ProdFam[],2,FALSE)))</f>
        <v>10</v>
      </c>
    </row>
    <row r="422" spans="2:15" x14ac:dyDescent="0.25">
      <c r="B422" s="1">
        <f>WEEKNUM(Data[[#This Row],[Date]],1)</f>
        <v>45</v>
      </c>
      <c r="C422" s="15">
        <f>YEAR(Data[[#This Row],[Date]])</f>
        <v>2019</v>
      </c>
      <c r="D422" s="5">
        <v>43774</v>
      </c>
      <c r="E422" s="1" t="s">
        <v>128</v>
      </c>
      <c r="F422" s="1">
        <v>61877</v>
      </c>
      <c r="G422" s="1" t="s">
        <v>25</v>
      </c>
      <c r="H422" s="1" t="s">
        <v>162</v>
      </c>
      <c r="I422" s="1" t="s">
        <v>0</v>
      </c>
      <c r="J422" s="1">
        <v>6</v>
      </c>
      <c r="K422" s="1">
        <f>J422*(IF(I422=ProdFam[[#Headers],[Test]],(VLOOKUP(Data[[#This Row],[Product Family]],ProdFam[],3,FALSE)),(VLOOKUP(Data[[#This Row],[Product Family]],ProdFam[],2,FALSE))))</f>
        <v>60</v>
      </c>
      <c r="L422" s="1">
        <v>48</v>
      </c>
      <c r="M422" s="1">
        <v>6</v>
      </c>
      <c r="N422" s="7">
        <f>IFERROR(Data[[#This Row],[Actual Time]]/Data[[#This Row],[QTY Complete]],"")</f>
        <v>8</v>
      </c>
      <c r="O422" s="7">
        <f>IF(I422=ProdFam[[#Headers],[Test]],(VLOOKUP(Data[[#This Row],[Product Family]],ProdFam[],3,FALSE)),(VLOOKUP(Data[[#This Row],[Product Family]],ProdFam[],2,FALSE)))</f>
        <v>10</v>
      </c>
    </row>
    <row r="423" spans="2:15" x14ac:dyDescent="0.25">
      <c r="B423" s="1">
        <f>WEEKNUM(Data[[#This Row],[Date]],1)</f>
        <v>45</v>
      </c>
      <c r="C423" s="15">
        <f>YEAR(Data[[#This Row],[Date]])</f>
        <v>2019</v>
      </c>
      <c r="D423" s="5">
        <v>43774</v>
      </c>
      <c r="E423" s="1" t="s">
        <v>128</v>
      </c>
      <c r="F423" s="1">
        <v>61811</v>
      </c>
      <c r="G423" s="1" t="s">
        <v>25</v>
      </c>
      <c r="H423" s="1" t="s">
        <v>162</v>
      </c>
      <c r="I423" s="1" t="s">
        <v>0</v>
      </c>
      <c r="J423" s="1">
        <v>1</v>
      </c>
      <c r="K423" s="1">
        <f>J423*(IF(I423=ProdFam[[#Headers],[Test]],(VLOOKUP(Data[[#This Row],[Product Family]],ProdFam[],3,FALSE)),(VLOOKUP(Data[[#This Row],[Product Family]],ProdFam[],2,FALSE))))</f>
        <v>10</v>
      </c>
      <c r="L423" s="1">
        <v>10</v>
      </c>
      <c r="M423" s="1">
        <v>1</v>
      </c>
      <c r="N423" s="7">
        <f>IFERROR(Data[[#This Row],[Actual Time]]/Data[[#This Row],[QTY Complete]],"")</f>
        <v>10</v>
      </c>
      <c r="O423" s="7">
        <f>IF(I423=ProdFam[[#Headers],[Test]],(VLOOKUP(Data[[#This Row],[Product Family]],ProdFam[],3,FALSE)),(VLOOKUP(Data[[#This Row],[Product Family]],ProdFam[],2,FALSE)))</f>
        <v>10</v>
      </c>
    </row>
    <row r="424" spans="2:15" x14ac:dyDescent="0.25">
      <c r="B424" s="1">
        <f>WEEKNUM(Data[[#This Row],[Date]],1)</f>
        <v>45</v>
      </c>
      <c r="C424" s="15">
        <f>YEAR(Data[[#This Row],[Date]])</f>
        <v>2019</v>
      </c>
      <c r="D424" s="5">
        <v>43774</v>
      </c>
      <c r="E424" s="1" t="s">
        <v>128</v>
      </c>
      <c r="F424" s="1">
        <v>61456</v>
      </c>
      <c r="G424" s="1" t="s">
        <v>28</v>
      </c>
      <c r="H424" s="1" t="s">
        <v>162</v>
      </c>
      <c r="I424" s="1" t="s">
        <v>0</v>
      </c>
      <c r="J424" s="1">
        <v>1</v>
      </c>
      <c r="K424" s="1">
        <f>J424*(IF(I424=ProdFam[[#Headers],[Test]],(VLOOKUP(Data[[#This Row],[Product Family]],ProdFam[],3,FALSE)),(VLOOKUP(Data[[#This Row],[Product Family]],ProdFam[],2,FALSE))))</f>
        <v>10</v>
      </c>
      <c r="L424" s="1">
        <v>6</v>
      </c>
      <c r="M424" s="1">
        <v>1</v>
      </c>
      <c r="N424" s="7">
        <f>IFERROR(Data[[#This Row],[Actual Time]]/Data[[#This Row],[QTY Complete]],"")</f>
        <v>6</v>
      </c>
      <c r="O424" s="7">
        <f>IF(I424=ProdFam[[#Headers],[Test]],(VLOOKUP(Data[[#This Row],[Product Family]],ProdFam[],3,FALSE)),(VLOOKUP(Data[[#This Row],[Product Family]],ProdFam[],2,FALSE)))</f>
        <v>10</v>
      </c>
    </row>
    <row r="425" spans="2:15" x14ac:dyDescent="0.25">
      <c r="B425" s="1">
        <f>WEEKNUM(Data[[#This Row],[Date]],1)</f>
        <v>45</v>
      </c>
      <c r="C425" s="15">
        <f>YEAR(Data[[#This Row],[Date]])</f>
        <v>2019</v>
      </c>
      <c r="D425" s="5">
        <v>43774</v>
      </c>
      <c r="E425" s="1" t="s">
        <v>128</v>
      </c>
      <c r="F425" s="1">
        <v>28949</v>
      </c>
      <c r="G425" s="1" t="s">
        <v>2</v>
      </c>
      <c r="H425" s="1" t="s">
        <v>112</v>
      </c>
      <c r="I425" s="1" t="s">
        <v>0</v>
      </c>
      <c r="J425" s="1">
        <v>9</v>
      </c>
      <c r="K425" s="1">
        <f>J425*(IF(I425=ProdFam[[#Headers],[Test]],(VLOOKUP(Data[[#This Row],[Product Family]],ProdFam[],3,FALSE)),(VLOOKUP(Data[[#This Row],[Product Family]],ProdFam[],2,FALSE))))</f>
        <v>90</v>
      </c>
      <c r="L425" s="1">
        <v>68</v>
      </c>
      <c r="M425" s="1">
        <v>9</v>
      </c>
      <c r="N425" s="7">
        <f>IFERROR(Data[[#This Row],[Actual Time]]/Data[[#This Row],[QTY Complete]],"")</f>
        <v>7.5555555555555554</v>
      </c>
      <c r="O425" s="7">
        <f>IF(I425=ProdFam[[#Headers],[Test]],(VLOOKUP(Data[[#This Row],[Product Family]],ProdFam[],3,FALSE)),(VLOOKUP(Data[[#This Row],[Product Family]],ProdFam[],2,FALSE)))</f>
        <v>10</v>
      </c>
    </row>
    <row r="426" spans="2:15" x14ac:dyDescent="0.25">
      <c r="B426" s="1">
        <f>WEEKNUM(Data[[#This Row],[Date]],1)</f>
        <v>45</v>
      </c>
      <c r="C426" s="15">
        <f>YEAR(Data[[#This Row],[Date]])</f>
        <v>2019</v>
      </c>
      <c r="D426" s="5">
        <v>43774</v>
      </c>
      <c r="E426" s="1" t="s">
        <v>128</v>
      </c>
      <c r="F426" s="1">
        <v>28965</v>
      </c>
      <c r="G426" s="1" t="s">
        <v>32</v>
      </c>
      <c r="H426" s="1" t="s">
        <v>112</v>
      </c>
      <c r="I426" s="1" t="s">
        <v>0</v>
      </c>
      <c r="J426" s="1">
        <v>9</v>
      </c>
      <c r="K426" s="1">
        <f>J426*(IF(I426=ProdFam[[#Headers],[Test]],(VLOOKUP(Data[[#This Row],[Product Family]],ProdFam[],3,FALSE)),(VLOOKUP(Data[[#This Row],[Product Family]],ProdFam[],2,FALSE))))</f>
        <v>90</v>
      </c>
      <c r="L426" s="1">
        <v>60</v>
      </c>
      <c r="M426" s="1">
        <v>9</v>
      </c>
      <c r="N426" s="7">
        <f>IFERROR(Data[[#This Row],[Actual Time]]/Data[[#This Row],[QTY Complete]],"")</f>
        <v>6.666666666666667</v>
      </c>
      <c r="O426" s="7">
        <f>IF(I426=ProdFam[[#Headers],[Test]],(VLOOKUP(Data[[#This Row],[Product Family]],ProdFam[],3,FALSE)),(VLOOKUP(Data[[#This Row],[Product Family]],ProdFam[],2,FALSE)))</f>
        <v>10</v>
      </c>
    </row>
    <row r="427" spans="2:15" x14ac:dyDescent="0.25">
      <c r="B427" s="1">
        <f>WEEKNUM(Data[[#This Row],[Date]],1)</f>
        <v>45</v>
      </c>
      <c r="C427" s="15">
        <f>YEAR(Data[[#This Row],[Date]])</f>
        <v>2019</v>
      </c>
      <c r="D427" s="5">
        <v>43774</v>
      </c>
      <c r="E427" s="1" t="s">
        <v>128</v>
      </c>
      <c r="F427" s="1">
        <v>28951</v>
      </c>
      <c r="G427" s="1" t="s">
        <v>49</v>
      </c>
      <c r="H427" s="1" t="s">
        <v>112</v>
      </c>
      <c r="I427" s="1" t="s">
        <v>0</v>
      </c>
      <c r="J427" s="1">
        <v>12</v>
      </c>
      <c r="K427" s="1">
        <f>J427*(IF(I427=ProdFam[[#Headers],[Test]],(VLOOKUP(Data[[#This Row],[Product Family]],ProdFam[],3,FALSE)),(VLOOKUP(Data[[#This Row],[Product Family]],ProdFam[],2,FALSE))))</f>
        <v>120</v>
      </c>
      <c r="L427" s="1">
        <v>105</v>
      </c>
      <c r="M427" s="1">
        <v>6</v>
      </c>
      <c r="N427" s="7">
        <f>IFERROR(Data[[#This Row],[Actual Time]]/Data[[#This Row],[QTY Complete]],"")</f>
        <v>17.5</v>
      </c>
      <c r="O427" s="7">
        <f>IF(I427=ProdFam[[#Headers],[Test]],(VLOOKUP(Data[[#This Row],[Product Family]],ProdFam[],3,FALSE)),(VLOOKUP(Data[[#This Row],[Product Family]],ProdFam[],2,FALSE)))</f>
        <v>10</v>
      </c>
    </row>
    <row r="428" spans="2:15" x14ac:dyDescent="0.25">
      <c r="B428" s="1">
        <f>WEEKNUM(Data[[#This Row],[Date]],1)</f>
        <v>45</v>
      </c>
      <c r="C428" s="15">
        <f>YEAR(Data[[#This Row],[Date]])</f>
        <v>2019</v>
      </c>
      <c r="D428" s="5">
        <v>43774</v>
      </c>
      <c r="E428" s="1" t="s">
        <v>122</v>
      </c>
      <c r="F428" s="1">
        <v>28894</v>
      </c>
      <c r="G428" s="1" t="s">
        <v>50</v>
      </c>
      <c r="H428" s="1" t="s">
        <v>113</v>
      </c>
      <c r="I428" s="1" t="s">
        <v>0</v>
      </c>
      <c r="J428" s="1">
        <v>5</v>
      </c>
      <c r="K428" s="1">
        <f>J428*(IF(I428=ProdFam[[#Headers],[Test]],(VLOOKUP(Data[[#This Row],[Product Family]],ProdFam[],3,FALSE)),(VLOOKUP(Data[[#This Row],[Product Family]],ProdFam[],2,FALSE))))</f>
        <v>235</v>
      </c>
      <c r="L428" s="1">
        <v>120</v>
      </c>
      <c r="M428" s="1">
        <v>5</v>
      </c>
      <c r="N428" s="7">
        <f>IFERROR(Data[[#This Row],[Actual Time]]/Data[[#This Row],[QTY Complete]],"")</f>
        <v>24</v>
      </c>
      <c r="O428" s="7">
        <f>IF(I428=ProdFam[[#Headers],[Test]],(VLOOKUP(Data[[#This Row],[Product Family]],ProdFam[],3,FALSE)),(VLOOKUP(Data[[#This Row],[Product Family]],ProdFam[],2,FALSE)))</f>
        <v>47</v>
      </c>
    </row>
    <row r="429" spans="2:15" x14ac:dyDescent="0.25">
      <c r="B429" s="1">
        <f>WEEKNUM(Data[[#This Row],[Date]],1)</f>
        <v>45</v>
      </c>
      <c r="C429" s="15">
        <f>YEAR(Data[[#This Row],[Date]])</f>
        <v>2019</v>
      </c>
      <c r="D429" s="5">
        <v>43774</v>
      </c>
      <c r="E429" s="1" t="s">
        <v>122</v>
      </c>
      <c r="F429" s="1">
        <v>28879</v>
      </c>
      <c r="G429" s="1" t="s">
        <v>44</v>
      </c>
      <c r="H429" s="1" t="s">
        <v>113</v>
      </c>
      <c r="I429" s="1" t="s">
        <v>0</v>
      </c>
      <c r="J429" s="1">
        <v>3</v>
      </c>
      <c r="K429" s="1">
        <f>J429*(IF(I429=ProdFam[[#Headers],[Test]],(VLOOKUP(Data[[#This Row],[Product Family]],ProdFam[],3,FALSE)),(VLOOKUP(Data[[#This Row],[Product Family]],ProdFam[],2,FALSE))))</f>
        <v>141</v>
      </c>
      <c r="L429" s="1">
        <v>135</v>
      </c>
      <c r="M429" s="1">
        <v>3</v>
      </c>
      <c r="N429" s="7">
        <f>IFERROR(Data[[#This Row],[Actual Time]]/Data[[#This Row],[QTY Complete]],"")</f>
        <v>45</v>
      </c>
      <c r="O429" s="7">
        <f>IF(I429=ProdFam[[#Headers],[Test]],(VLOOKUP(Data[[#This Row],[Product Family]],ProdFam[],3,FALSE)),(VLOOKUP(Data[[#This Row],[Product Family]],ProdFam[],2,FALSE)))</f>
        <v>47</v>
      </c>
    </row>
    <row r="430" spans="2:15" x14ac:dyDescent="0.25">
      <c r="B430" s="1">
        <f>WEEKNUM(Data[[#This Row],[Date]],1)</f>
        <v>45</v>
      </c>
      <c r="C430" s="15">
        <f>YEAR(Data[[#This Row],[Date]])</f>
        <v>2019</v>
      </c>
      <c r="D430" s="5">
        <v>43774</v>
      </c>
      <c r="E430" s="1" t="s">
        <v>122</v>
      </c>
      <c r="F430" s="1">
        <v>28942</v>
      </c>
      <c r="G430" s="1" t="s">
        <v>27</v>
      </c>
      <c r="H430" s="1" t="s">
        <v>113</v>
      </c>
      <c r="I430" s="1" t="s">
        <v>0</v>
      </c>
      <c r="J430" s="1">
        <v>1</v>
      </c>
      <c r="K430" s="1">
        <f>J430*(IF(I430=ProdFam[[#Headers],[Test]],(VLOOKUP(Data[[#This Row],[Product Family]],ProdFam[],3,FALSE)),(VLOOKUP(Data[[#This Row],[Product Family]],ProdFam[],2,FALSE))))</f>
        <v>47</v>
      </c>
      <c r="L430" s="1">
        <v>45</v>
      </c>
      <c r="M430" s="1">
        <v>1</v>
      </c>
      <c r="N430" s="7">
        <f>IFERROR(Data[[#This Row],[Actual Time]]/Data[[#This Row],[QTY Complete]],"")</f>
        <v>45</v>
      </c>
      <c r="O430" s="7">
        <f>IF(I430=ProdFam[[#Headers],[Test]],(VLOOKUP(Data[[#This Row],[Product Family]],ProdFam[],3,FALSE)),(VLOOKUP(Data[[#This Row],[Product Family]],ProdFam[],2,FALSE)))</f>
        <v>47</v>
      </c>
    </row>
    <row r="431" spans="2:15" x14ac:dyDescent="0.25">
      <c r="B431" s="1">
        <f>WEEKNUM(Data[[#This Row],[Date]],1)</f>
        <v>45</v>
      </c>
      <c r="C431" s="15">
        <f>YEAR(Data[[#This Row],[Date]])</f>
        <v>2019</v>
      </c>
      <c r="D431" s="5">
        <v>43774</v>
      </c>
      <c r="E431" s="1" t="s">
        <v>122</v>
      </c>
      <c r="F431" s="1">
        <v>28901</v>
      </c>
      <c r="G431" s="1" t="s">
        <v>59</v>
      </c>
      <c r="H431" s="1" t="s">
        <v>113</v>
      </c>
      <c r="I431" s="1" t="s">
        <v>0</v>
      </c>
      <c r="J431" s="1">
        <v>6</v>
      </c>
      <c r="K431" s="1">
        <f>J431*(IF(I431=ProdFam[[#Headers],[Test]],(VLOOKUP(Data[[#This Row],[Product Family]],ProdFam[],3,FALSE)),(VLOOKUP(Data[[#This Row],[Product Family]],ProdFam[],2,FALSE))))</f>
        <v>282</v>
      </c>
      <c r="L431" s="1">
        <v>255</v>
      </c>
      <c r="M431" s="1">
        <v>6</v>
      </c>
      <c r="N431" s="7">
        <f>IFERROR(Data[[#This Row],[Actual Time]]/Data[[#This Row],[QTY Complete]],"")</f>
        <v>42.5</v>
      </c>
      <c r="O431" s="7">
        <f>IF(I431=ProdFam[[#Headers],[Test]],(VLOOKUP(Data[[#This Row],[Product Family]],ProdFam[],3,FALSE)),(VLOOKUP(Data[[#This Row],[Product Family]],ProdFam[],2,FALSE)))</f>
        <v>47</v>
      </c>
    </row>
    <row r="432" spans="2:15" x14ac:dyDescent="0.25">
      <c r="B432" s="1">
        <f>WEEKNUM(Data[[#This Row],[Date]],1)</f>
        <v>45</v>
      </c>
      <c r="C432" s="15">
        <f>YEAR(Data[[#This Row],[Date]])</f>
        <v>2019</v>
      </c>
      <c r="D432" s="5">
        <v>43774</v>
      </c>
      <c r="E432" s="1" t="s">
        <v>122</v>
      </c>
      <c r="F432" s="1">
        <v>28874</v>
      </c>
      <c r="G432" s="1" t="s">
        <v>11</v>
      </c>
      <c r="H432" s="1" t="s">
        <v>113</v>
      </c>
      <c r="I432" s="1" t="s">
        <v>0</v>
      </c>
      <c r="J432" s="1">
        <v>3</v>
      </c>
      <c r="K432" s="1">
        <f>J432*(IF(I432=ProdFam[[#Headers],[Test]],(VLOOKUP(Data[[#This Row],[Product Family]],ProdFam[],3,FALSE)),(VLOOKUP(Data[[#This Row],[Product Family]],ProdFam[],2,FALSE))))</f>
        <v>141</v>
      </c>
      <c r="L432" s="1">
        <v>15</v>
      </c>
      <c r="M432" s="1">
        <v>0</v>
      </c>
      <c r="N432" s="7" t="str">
        <f>IFERROR(Data[[#This Row],[Actual Time]]/Data[[#This Row],[QTY Complete]],"")</f>
        <v/>
      </c>
      <c r="O432" s="7">
        <f>IF(I432=ProdFam[[#Headers],[Test]],(VLOOKUP(Data[[#This Row],[Product Family]],ProdFam[],3,FALSE)),(VLOOKUP(Data[[#This Row],[Product Family]],ProdFam[],2,FALSE)))</f>
        <v>47</v>
      </c>
    </row>
    <row r="433" spans="2:15" x14ac:dyDescent="0.25">
      <c r="B433" s="1">
        <f>WEEKNUM(Data[[#This Row],[Date]],1)</f>
        <v>45</v>
      </c>
      <c r="C433" s="15">
        <f>YEAR(Data[[#This Row],[Date]])</f>
        <v>2019</v>
      </c>
      <c r="D433" s="5">
        <v>43775</v>
      </c>
      <c r="E433" s="1" t="s">
        <v>128</v>
      </c>
      <c r="F433" s="1">
        <v>28951</v>
      </c>
      <c r="G433" s="1" t="s">
        <v>49</v>
      </c>
      <c r="H433" s="1" t="s">
        <v>112</v>
      </c>
      <c r="I433" s="1" t="s">
        <v>0</v>
      </c>
      <c r="J433" s="1">
        <v>6</v>
      </c>
      <c r="K433" s="1">
        <f>J433*(IF(I433=ProdFam[[#Headers],[Test]],(VLOOKUP(Data[[#This Row],[Product Family]],ProdFam[],3,FALSE)),(VLOOKUP(Data[[#This Row],[Product Family]],ProdFam[],2,FALSE))))</f>
        <v>60</v>
      </c>
      <c r="L433" s="1">
        <v>60</v>
      </c>
      <c r="M433" s="1">
        <v>6</v>
      </c>
      <c r="N433" s="7">
        <f>IFERROR(Data[[#This Row],[Actual Time]]/Data[[#This Row],[QTY Complete]],"")</f>
        <v>10</v>
      </c>
      <c r="O433" s="7">
        <f>IF(I433=ProdFam[[#Headers],[Test]],(VLOOKUP(Data[[#This Row],[Product Family]],ProdFam[],3,FALSE)),(VLOOKUP(Data[[#This Row],[Product Family]],ProdFam[],2,FALSE)))</f>
        <v>10</v>
      </c>
    </row>
    <row r="434" spans="2:15" x14ac:dyDescent="0.25">
      <c r="B434" s="1">
        <f>WEEKNUM(Data[[#This Row],[Date]],1)</f>
        <v>45</v>
      </c>
      <c r="C434" s="15">
        <f>YEAR(Data[[#This Row],[Date]])</f>
        <v>2019</v>
      </c>
      <c r="D434" s="5">
        <v>43775</v>
      </c>
      <c r="E434" s="1" t="s">
        <v>128</v>
      </c>
      <c r="F434" s="1">
        <v>29076</v>
      </c>
      <c r="G434" s="1" t="s">
        <v>49</v>
      </c>
      <c r="H434" s="1" t="s">
        <v>112</v>
      </c>
      <c r="I434" s="1" t="s">
        <v>0</v>
      </c>
      <c r="J434" s="1">
        <v>12</v>
      </c>
      <c r="K434" s="1">
        <f>J434*(IF(I434=ProdFam[[#Headers],[Test]],(VLOOKUP(Data[[#This Row],[Product Family]],ProdFam[],3,FALSE)),(VLOOKUP(Data[[#This Row],[Product Family]],ProdFam[],2,FALSE))))</f>
        <v>120</v>
      </c>
      <c r="L434" s="1">
        <v>106</v>
      </c>
      <c r="M434" s="1">
        <v>12</v>
      </c>
      <c r="N434" s="7">
        <f>IFERROR(Data[[#This Row],[Actual Time]]/Data[[#This Row],[QTY Complete]],"")</f>
        <v>8.8333333333333339</v>
      </c>
      <c r="O434" s="7">
        <f>IF(I434=ProdFam[[#Headers],[Test]],(VLOOKUP(Data[[#This Row],[Product Family]],ProdFam[],3,FALSE)),(VLOOKUP(Data[[#This Row],[Product Family]],ProdFam[],2,FALSE)))</f>
        <v>10</v>
      </c>
    </row>
    <row r="435" spans="2:15" x14ac:dyDescent="0.25">
      <c r="B435" s="1">
        <f>WEEKNUM(Data[[#This Row],[Date]],1)</f>
        <v>45</v>
      </c>
      <c r="C435" s="15">
        <f>YEAR(Data[[#This Row],[Date]])</f>
        <v>2019</v>
      </c>
      <c r="D435" s="5">
        <v>43775</v>
      </c>
      <c r="E435" s="1" t="s">
        <v>128</v>
      </c>
      <c r="F435" s="1">
        <v>28963</v>
      </c>
      <c r="G435" s="1" t="s">
        <v>84</v>
      </c>
      <c r="H435" s="1" t="s">
        <v>112</v>
      </c>
      <c r="I435" s="1" t="s">
        <v>0</v>
      </c>
      <c r="J435" s="1">
        <v>12</v>
      </c>
      <c r="K435" s="1">
        <f>J435*(IF(I435=ProdFam[[#Headers],[Test]],(VLOOKUP(Data[[#This Row],[Product Family]],ProdFam[],3,FALSE)),(VLOOKUP(Data[[#This Row],[Product Family]],ProdFam[],2,FALSE))))</f>
        <v>120</v>
      </c>
      <c r="L435" s="1">
        <v>220</v>
      </c>
      <c r="M435" s="1">
        <v>10</v>
      </c>
      <c r="N435" s="7">
        <f>IFERROR(Data[[#This Row],[Actual Time]]/Data[[#This Row],[QTY Complete]],"")</f>
        <v>22</v>
      </c>
      <c r="O435" s="7">
        <f>IF(I435=ProdFam[[#Headers],[Test]],(VLOOKUP(Data[[#This Row],[Product Family]],ProdFam[],3,FALSE)),(VLOOKUP(Data[[#This Row],[Product Family]],ProdFam[],2,FALSE)))</f>
        <v>10</v>
      </c>
    </row>
    <row r="436" spans="2:15" x14ac:dyDescent="0.25">
      <c r="B436" s="1">
        <f>WEEKNUM(Data[[#This Row],[Date]],1)</f>
        <v>45</v>
      </c>
      <c r="C436" s="15">
        <f>YEAR(Data[[#This Row],[Date]])</f>
        <v>2019</v>
      </c>
      <c r="D436" s="5">
        <v>43775</v>
      </c>
      <c r="E436" s="1" t="s">
        <v>118</v>
      </c>
      <c r="F436" s="1">
        <v>28847</v>
      </c>
      <c r="G436" s="1" t="s">
        <v>83</v>
      </c>
      <c r="H436" s="1" t="s">
        <v>132</v>
      </c>
      <c r="I436" s="1" t="s">
        <v>0</v>
      </c>
      <c r="J436" s="1">
        <v>18</v>
      </c>
      <c r="K436" s="1">
        <f>J436*(IF(I436=ProdFam[[#Headers],[Test]],(VLOOKUP(Data[[#This Row],[Product Family]],ProdFam[],3,FALSE)),(VLOOKUP(Data[[#This Row],[Product Family]],ProdFam[],2,FALSE))))</f>
        <v>414</v>
      </c>
      <c r="L436" s="1">
        <v>355</v>
      </c>
      <c r="M436" s="1">
        <v>18</v>
      </c>
      <c r="N436" s="7">
        <f>IFERROR(Data[[#This Row],[Actual Time]]/Data[[#This Row],[QTY Complete]],"")</f>
        <v>19.722222222222221</v>
      </c>
      <c r="O436" s="7">
        <f>IF(I436=ProdFam[[#Headers],[Test]],(VLOOKUP(Data[[#This Row],[Product Family]],ProdFam[],3,FALSE)),(VLOOKUP(Data[[#This Row],[Product Family]],ProdFam[],2,FALSE)))</f>
        <v>23</v>
      </c>
    </row>
    <row r="437" spans="2:15" x14ac:dyDescent="0.25">
      <c r="B437" s="1">
        <f>WEEKNUM(Data[[#This Row],[Date]],1)</f>
        <v>45</v>
      </c>
      <c r="C437" s="15">
        <f>YEAR(Data[[#This Row],[Date]])</f>
        <v>2019</v>
      </c>
      <c r="D437" s="5">
        <v>43775</v>
      </c>
      <c r="E437" s="1" t="s">
        <v>118</v>
      </c>
      <c r="F437" s="1">
        <v>28897</v>
      </c>
      <c r="G437" s="1" t="s">
        <v>83</v>
      </c>
      <c r="H437" s="1" t="s">
        <v>132</v>
      </c>
      <c r="I437" s="1" t="s">
        <v>0</v>
      </c>
      <c r="J437" s="1">
        <v>6</v>
      </c>
      <c r="K437" s="1">
        <f>J437*(IF(I437=ProdFam[[#Headers],[Test]],(VLOOKUP(Data[[#This Row],[Product Family]],ProdFam[],3,FALSE)),(VLOOKUP(Data[[#This Row],[Product Family]],ProdFam[],2,FALSE))))</f>
        <v>138</v>
      </c>
      <c r="L437" s="1">
        <v>125</v>
      </c>
      <c r="M437" s="1">
        <v>6</v>
      </c>
      <c r="N437" s="7">
        <f>IFERROR(Data[[#This Row],[Actual Time]]/Data[[#This Row],[QTY Complete]],"")</f>
        <v>20.833333333333332</v>
      </c>
      <c r="O437" s="7">
        <f>IF(I437=ProdFam[[#Headers],[Test]],(VLOOKUP(Data[[#This Row],[Product Family]],ProdFam[],3,FALSE)),(VLOOKUP(Data[[#This Row],[Product Family]],ProdFam[],2,FALSE)))</f>
        <v>23</v>
      </c>
    </row>
    <row r="438" spans="2:15" x14ac:dyDescent="0.25">
      <c r="B438" s="1">
        <f>WEEKNUM(Data[[#This Row],[Date]],1)</f>
        <v>45</v>
      </c>
      <c r="C438" s="15">
        <f>YEAR(Data[[#This Row],[Date]])</f>
        <v>2019</v>
      </c>
      <c r="D438" s="5">
        <v>43775</v>
      </c>
      <c r="E438" s="1" t="s">
        <v>131</v>
      </c>
      <c r="F438" s="1">
        <v>28983</v>
      </c>
      <c r="G438" s="1" t="s">
        <v>25</v>
      </c>
      <c r="H438" s="1" t="s">
        <v>113</v>
      </c>
      <c r="I438" s="1" t="s">
        <v>0</v>
      </c>
      <c r="J438" s="1">
        <v>10</v>
      </c>
      <c r="K438" s="1">
        <f>J438*(IF(I438=ProdFam[[#Headers],[Test]],(VLOOKUP(Data[[#This Row],[Product Family]],ProdFam[],3,FALSE)),(VLOOKUP(Data[[#This Row],[Product Family]],ProdFam[],2,FALSE))))</f>
        <v>470</v>
      </c>
      <c r="L438" s="1">
        <v>500</v>
      </c>
      <c r="M438" s="1">
        <v>10</v>
      </c>
      <c r="N438" s="7">
        <f>IFERROR(Data[[#This Row],[Actual Time]]/Data[[#This Row],[QTY Complete]],"")</f>
        <v>50</v>
      </c>
      <c r="O438" s="7">
        <f>IF(I438=ProdFam[[#Headers],[Test]],(VLOOKUP(Data[[#This Row],[Product Family]],ProdFam[],3,FALSE)),(VLOOKUP(Data[[#This Row],[Product Family]],ProdFam[],2,FALSE)))</f>
        <v>47</v>
      </c>
    </row>
    <row r="439" spans="2:15" x14ac:dyDescent="0.25">
      <c r="B439" s="1">
        <f>WEEKNUM(Data[[#This Row],[Date]],1)</f>
        <v>45</v>
      </c>
      <c r="C439" s="15">
        <f>YEAR(Data[[#This Row],[Date]])</f>
        <v>2019</v>
      </c>
      <c r="D439" s="5">
        <v>43775</v>
      </c>
      <c r="E439" s="1" t="s">
        <v>122</v>
      </c>
      <c r="F439" s="1">
        <v>28874</v>
      </c>
      <c r="G439" s="1" t="s">
        <v>11</v>
      </c>
      <c r="H439" s="1" t="s">
        <v>113</v>
      </c>
      <c r="I439" s="1" t="s">
        <v>0</v>
      </c>
      <c r="J439" s="1">
        <v>3</v>
      </c>
      <c r="K439" s="1">
        <f>J439*(IF(I439=ProdFam[[#Headers],[Test]],(VLOOKUP(Data[[#This Row],[Product Family]],ProdFam[],3,FALSE)),(VLOOKUP(Data[[#This Row],[Product Family]],ProdFam[],2,FALSE))))</f>
        <v>141</v>
      </c>
      <c r="L439" s="1">
        <v>120</v>
      </c>
      <c r="M439" s="1">
        <v>3</v>
      </c>
      <c r="N439" s="7">
        <f>IFERROR(Data[[#This Row],[Actual Time]]/Data[[#This Row],[QTY Complete]],"")</f>
        <v>40</v>
      </c>
      <c r="O439" s="7">
        <f>IF(I439=ProdFam[[#Headers],[Test]],(VLOOKUP(Data[[#This Row],[Product Family]],ProdFam[],3,FALSE)),(VLOOKUP(Data[[#This Row],[Product Family]],ProdFam[],2,FALSE)))</f>
        <v>47</v>
      </c>
    </row>
    <row r="440" spans="2:15" x14ac:dyDescent="0.25">
      <c r="B440" s="1">
        <f>WEEKNUM(Data[[#This Row],[Date]],1)</f>
        <v>45</v>
      </c>
      <c r="C440" s="15">
        <f>YEAR(Data[[#This Row],[Date]])</f>
        <v>2019</v>
      </c>
      <c r="D440" s="5">
        <v>43775</v>
      </c>
      <c r="E440" s="1" t="s">
        <v>122</v>
      </c>
      <c r="F440" s="1">
        <v>28941</v>
      </c>
      <c r="G440" s="1" t="s">
        <v>79</v>
      </c>
      <c r="H440" s="1" t="s">
        <v>112</v>
      </c>
      <c r="I440" s="1" t="s">
        <v>0</v>
      </c>
      <c r="J440" s="1">
        <v>12</v>
      </c>
      <c r="K440" s="1">
        <f>J440*(IF(I440=ProdFam[[#Headers],[Test]],(VLOOKUP(Data[[#This Row],[Product Family]],ProdFam[],3,FALSE)),(VLOOKUP(Data[[#This Row],[Product Family]],ProdFam[],2,FALSE))))</f>
        <v>120</v>
      </c>
      <c r="L440" s="1">
        <v>135</v>
      </c>
      <c r="M440" s="1">
        <v>12</v>
      </c>
      <c r="N440" s="7">
        <f>IFERROR(Data[[#This Row],[Actual Time]]/Data[[#This Row],[QTY Complete]],"")</f>
        <v>11.25</v>
      </c>
      <c r="O440" s="7">
        <f>IF(I440=ProdFam[[#Headers],[Test]],(VLOOKUP(Data[[#This Row],[Product Family]],ProdFam[],3,FALSE)),(VLOOKUP(Data[[#This Row],[Product Family]],ProdFam[],2,FALSE)))</f>
        <v>10</v>
      </c>
    </row>
    <row r="441" spans="2:15" x14ac:dyDescent="0.25">
      <c r="B441" s="1">
        <f>WEEKNUM(Data[[#This Row],[Date]],1)</f>
        <v>45</v>
      </c>
      <c r="C441" s="15">
        <f>YEAR(Data[[#This Row],[Date]])</f>
        <v>2019</v>
      </c>
      <c r="D441" s="5">
        <v>43775</v>
      </c>
      <c r="E441" s="1" t="s">
        <v>122</v>
      </c>
      <c r="F441" s="1">
        <v>28966</v>
      </c>
      <c r="G441" s="1" t="s">
        <v>6</v>
      </c>
      <c r="H441" s="1" t="s">
        <v>112</v>
      </c>
      <c r="I441" s="1" t="s">
        <v>0</v>
      </c>
      <c r="J441" s="1">
        <v>3</v>
      </c>
      <c r="K441" s="1">
        <f>J441*(IF(I441=ProdFam[[#Headers],[Test]],(VLOOKUP(Data[[#This Row],[Product Family]],ProdFam[],3,FALSE)),(VLOOKUP(Data[[#This Row],[Product Family]],ProdFam[],2,FALSE))))</f>
        <v>30</v>
      </c>
      <c r="L441" s="1">
        <v>45</v>
      </c>
      <c r="M441" s="1">
        <v>3</v>
      </c>
      <c r="N441" s="7">
        <f>IFERROR(Data[[#This Row],[Actual Time]]/Data[[#This Row],[QTY Complete]],"")</f>
        <v>15</v>
      </c>
      <c r="O441" s="7">
        <f>IF(I441=ProdFam[[#Headers],[Test]],(VLOOKUP(Data[[#This Row],[Product Family]],ProdFam[],3,FALSE)),(VLOOKUP(Data[[#This Row],[Product Family]],ProdFam[],2,FALSE)))</f>
        <v>10</v>
      </c>
    </row>
    <row r="442" spans="2:15" x14ac:dyDescent="0.25">
      <c r="B442" s="1">
        <f>WEEKNUM(Data[[#This Row],[Date]],1)</f>
        <v>45</v>
      </c>
      <c r="C442" s="15">
        <f>YEAR(Data[[#This Row],[Date]])</f>
        <v>2019</v>
      </c>
      <c r="D442" s="5">
        <v>43775</v>
      </c>
      <c r="E442" s="1" t="s">
        <v>122</v>
      </c>
      <c r="F442" s="1">
        <v>28943</v>
      </c>
      <c r="G442" s="1" t="s">
        <v>8</v>
      </c>
      <c r="H442" s="1" t="s">
        <v>112</v>
      </c>
      <c r="I442" s="1" t="s">
        <v>0</v>
      </c>
      <c r="J442" s="1">
        <v>21</v>
      </c>
      <c r="K442" s="1">
        <f>J442*(IF(I442=ProdFam[[#Headers],[Test]],(VLOOKUP(Data[[#This Row],[Product Family]],ProdFam[],3,FALSE)),(VLOOKUP(Data[[#This Row],[Product Family]],ProdFam[],2,FALSE))))</f>
        <v>210</v>
      </c>
      <c r="L442" s="1">
        <v>240</v>
      </c>
      <c r="M442" s="1">
        <v>21</v>
      </c>
      <c r="N442" s="7">
        <f>IFERROR(Data[[#This Row],[Actual Time]]/Data[[#This Row],[QTY Complete]],"")</f>
        <v>11.428571428571429</v>
      </c>
      <c r="O442" s="7">
        <f>IF(I442=ProdFam[[#Headers],[Test]],(VLOOKUP(Data[[#This Row],[Product Family]],ProdFam[],3,FALSE)),(VLOOKUP(Data[[#This Row],[Product Family]],ProdFam[],2,FALSE)))</f>
        <v>10</v>
      </c>
    </row>
    <row r="443" spans="2:15" x14ac:dyDescent="0.25">
      <c r="B443" s="1">
        <f>WEEKNUM(Data[[#This Row],[Date]],1)</f>
        <v>45</v>
      </c>
      <c r="C443" s="15">
        <f>YEAR(Data[[#This Row],[Date]])</f>
        <v>2019</v>
      </c>
      <c r="D443" s="5">
        <v>43776</v>
      </c>
      <c r="E443" s="1" t="s">
        <v>131</v>
      </c>
      <c r="F443" s="1">
        <v>28960</v>
      </c>
      <c r="G443" s="1" t="s">
        <v>15</v>
      </c>
      <c r="H443" s="1" t="s">
        <v>113</v>
      </c>
      <c r="I443" s="1" t="s">
        <v>0</v>
      </c>
      <c r="J443" s="1">
        <v>8</v>
      </c>
      <c r="K443" s="1">
        <f>J443*(IF(I443=ProdFam[[#Headers],[Test]],(VLOOKUP(Data[[#This Row],[Product Family]],ProdFam[],3,FALSE)),(VLOOKUP(Data[[#This Row],[Product Family]],ProdFam[],2,FALSE))))</f>
        <v>376</v>
      </c>
      <c r="L443" s="1">
        <v>420</v>
      </c>
      <c r="M443" s="1">
        <v>0</v>
      </c>
      <c r="N443" s="7" t="str">
        <f>IFERROR(Data[[#This Row],[Actual Time]]/Data[[#This Row],[QTY Complete]],"")</f>
        <v/>
      </c>
      <c r="O443" s="7">
        <f>IF(I443=ProdFam[[#Headers],[Test]],(VLOOKUP(Data[[#This Row],[Product Family]],ProdFam[],3,FALSE)),(VLOOKUP(Data[[#This Row],[Product Family]],ProdFam[],2,FALSE)))</f>
        <v>47</v>
      </c>
    </row>
    <row r="444" spans="2:15" x14ac:dyDescent="0.25">
      <c r="B444" s="1">
        <f>WEEKNUM(Data[[#This Row],[Date]],1)</f>
        <v>45</v>
      </c>
      <c r="C444" s="15">
        <f>YEAR(Data[[#This Row],[Date]])</f>
        <v>2019</v>
      </c>
      <c r="D444" s="5">
        <v>43776</v>
      </c>
      <c r="E444" s="1" t="s">
        <v>122</v>
      </c>
      <c r="F444" s="1">
        <v>28821</v>
      </c>
      <c r="G444" s="1" t="s">
        <v>85</v>
      </c>
      <c r="H444" s="1" t="s">
        <v>123</v>
      </c>
      <c r="I444" s="1" t="s">
        <v>0</v>
      </c>
      <c r="J444" s="1">
        <v>10</v>
      </c>
      <c r="K444" s="1">
        <f>J444*(IF(I444=ProdFam[[#Headers],[Test]],(VLOOKUP(Data[[#This Row],[Product Family]],ProdFam[],3,FALSE)),(VLOOKUP(Data[[#This Row],[Product Family]],ProdFam[],2,FALSE))))</f>
        <v>900</v>
      </c>
      <c r="L444" s="1">
        <v>510</v>
      </c>
      <c r="M444" s="1">
        <v>0</v>
      </c>
      <c r="N444" s="7" t="str">
        <f>IFERROR(Data[[#This Row],[Actual Time]]/Data[[#This Row],[QTY Complete]],"")</f>
        <v/>
      </c>
      <c r="O444" s="7">
        <f>IF(I444=ProdFam[[#Headers],[Test]],(VLOOKUP(Data[[#This Row],[Product Family]],ProdFam[],3,FALSE)),(VLOOKUP(Data[[#This Row],[Product Family]],ProdFam[],2,FALSE)))</f>
        <v>90</v>
      </c>
    </row>
    <row r="445" spans="2:15" x14ac:dyDescent="0.25">
      <c r="B445" s="1">
        <f>WEEKNUM(Data[[#This Row],[Date]],1)</f>
        <v>45</v>
      </c>
      <c r="C445" s="15">
        <f>YEAR(Data[[#This Row],[Date]])</f>
        <v>2019</v>
      </c>
      <c r="D445" s="5">
        <v>43776</v>
      </c>
      <c r="E445" s="1" t="s">
        <v>122</v>
      </c>
      <c r="F445" s="1">
        <v>29134</v>
      </c>
      <c r="G445" s="1" t="s">
        <v>6</v>
      </c>
      <c r="H445" s="1" t="s">
        <v>112</v>
      </c>
      <c r="I445" s="1" t="s">
        <v>0</v>
      </c>
      <c r="J445" s="1">
        <v>5</v>
      </c>
      <c r="K445" s="1">
        <f>J445*(IF(I445=ProdFam[[#Headers],[Test]],(VLOOKUP(Data[[#This Row],[Product Family]],ProdFam[],3,FALSE)),(VLOOKUP(Data[[#This Row],[Product Family]],ProdFam[],2,FALSE))))</f>
        <v>50</v>
      </c>
      <c r="L445" s="1">
        <v>60</v>
      </c>
      <c r="M445" s="1">
        <v>5</v>
      </c>
      <c r="N445" s="7">
        <f>IFERROR(Data[[#This Row],[Actual Time]]/Data[[#This Row],[QTY Complete]],"")</f>
        <v>12</v>
      </c>
      <c r="O445" s="7">
        <f>IF(I445=ProdFam[[#Headers],[Test]],(VLOOKUP(Data[[#This Row],[Product Family]],ProdFam[],3,FALSE)),(VLOOKUP(Data[[#This Row],[Product Family]],ProdFam[],2,FALSE)))</f>
        <v>10</v>
      </c>
    </row>
    <row r="446" spans="2:15" x14ac:dyDescent="0.25">
      <c r="B446" s="1">
        <f>WEEKNUM(Data[[#This Row],[Date]],1)</f>
        <v>45</v>
      </c>
      <c r="C446" s="15">
        <f>YEAR(Data[[#This Row],[Date]])</f>
        <v>2019</v>
      </c>
      <c r="D446" s="5">
        <v>43776</v>
      </c>
      <c r="E446" s="1" t="s">
        <v>118</v>
      </c>
      <c r="F446" s="1">
        <v>29133</v>
      </c>
      <c r="G446" s="1" t="s">
        <v>22</v>
      </c>
      <c r="H446" s="1" t="s">
        <v>112</v>
      </c>
      <c r="I446" s="1" t="s">
        <v>0</v>
      </c>
      <c r="J446" s="1">
        <v>5</v>
      </c>
      <c r="K446" s="1">
        <f>J446*(IF(I446=ProdFam[[#Headers],[Test]],(VLOOKUP(Data[[#This Row],[Product Family]],ProdFam[],3,FALSE)),(VLOOKUP(Data[[#This Row],[Product Family]],ProdFam[],2,FALSE))))</f>
        <v>50</v>
      </c>
      <c r="L446" s="1">
        <v>70</v>
      </c>
      <c r="M446" s="1">
        <v>5</v>
      </c>
      <c r="N446" s="7">
        <f>IFERROR(Data[[#This Row],[Actual Time]]/Data[[#This Row],[QTY Complete]],"")</f>
        <v>14</v>
      </c>
      <c r="O446" s="7">
        <f>IF(I446=ProdFam[[#Headers],[Test]],(VLOOKUP(Data[[#This Row],[Product Family]],ProdFam[],3,FALSE)),(VLOOKUP(Data[[#This Row],[Product Family]],ProdFam[],2,FALSE)))</f>
        <v>10</v>
      </c>
    </row>
    <row r="447" spans="2:15" x14ac:dyDescent="0.25">
      <c r="B447" s="1">
        <f>WEEKNUM(Data[[#This Row],[Date]],1)</f>
        <v>45</v>
      </c>
      <c r="C447" s="15">
        <f>YEAR(Data[[#This Row],[Date]])</f>
        <v>2019</v>
      </c>
      <c r="D447" s="5">
        <v>43776</v>
      </c>
      <c r="E447" s="1" t="s">
        <v>118</v>
      </c>
      <c r="F447" s="1">
        <v>28964</v>
      </c>
      <c r="G447" s="1" t="s">
        <v>86</v>
      </c>
      <c r="H447" s="1" t="s">
        <v>132</v>
      </c>
      <c r="I447" s="1" t="s">
        <v>0</v>
      </c>
      <c r="J447" s="1">
        <v>10</v>
      </c>
      <c r="K447" s="1">
        <f>J447*(IF(I447=ProdFam[[#Headers],[Test]],(VLOOKUP(Data[[#This Row],[Product Family]],ProdFam[],3,FALSE)),(VLOOKUP(Data[[#This Row],[Product Family]],ProdFam[],2,FALSE))))</f>
        <v>230</v>
      </c>
      <c r="L447" s="1">
        <v>240</v>
      </c>
      <c r="M447" s="1">
        <v>0</v>
      </c>
      <c r="N447" s="7" t="str">
        <f>IFERROR(Data[[#This Row],[Actual Time]]/Data[[#This Row],[QTY Complete]],"")</f>
        <v/>
      </c>
      <c r="O447" s="7">
        <f>IF(I447=ProdFam[[#Headers],[Test]],(VLOOKUP(Data[[#This Row],[Product Family]],ProdFam[],3,FALSE)),(VLOOKUP(Data[[#This Row],[Product Family]],ProdFam[],2,FALSE)))</f>
        <v>23</v>
      </c>
    </row>
    <row r="448" spans="2:15" x14ac:dyDescent="0.25">
      <c r="B448" s="1">
        <f>WEEKNUM(Data[[#This Row],[Date]],1)</f>
        <v>45</v>
      </c>
      <c r="C448" s="15">
        <f>YEAR(Data[[#This Row],[Date]])</f>
        <v>2019</v>
      </c>
      <c r="D448" s="5">
        <v>43776</v>
      </c>
      <c r="E448" s="1" t="s">
        <v>128</v>
      </c>
      <c r="F448" s="1">
        <v>28963</v>
      </c>
      <c r="G448" s="1" t="s">
        <v>84</v>
      </c>
      <c r="H448" s="1" t="s">
        <v>112</v>
      </c>
      <c r="I448" s="1" t="s">
        <v>0</v>
      </c>
      <c r="J448" s="1">
        <v>30</v>
      </c>
      <c r="K448" s="1">
        <f>J448*(IF(I448=ProdFam[[#Headers],[Test]],(VLOOKUP(Data[[#This Row],[Product Family]],ProdFam[],3,FALSE)),(VLOOKUP(Data[[#This Row],[Product Family]],ProdFam[],2,FALSE))))</f>
        <v>300</v>
      </c>
      <c r="L448" s="1">
        <v>30</v>
      </c>
      <c r="M448" s="1">
        <v>3</v>
      </c>
      <c r="N448" s="7">
        <f>IFERROR(Data[[#This Row],[Actual Time]]/Data[[#This Row],[QTY Complete]],"")</f>
        <v>10</v>
      </c>
      <c r="O448" s="7">
        <f>IF(I448=ProdFam[[#Headers],[Test]],(VLOOKUP(Data[[#This Row],[Product Family]],ProdFam[],3,FALSE)),(VLOOKUP(Data[[#This Row],[Product Family]],ProdFam[],2,FALSE)))</f>
        <v>10</v>
      </c>
    </row>
    <row r="449" spans="2:15" x14ac:dyDescent="0.25">
      <c r="B449" s="1">
        <f>WEEKNUM(Data[[#This Row],[Date]],1)</f>
        <v>45</v>
      </c>
      <c r="C449" s="15">
        <f>YEAR(Data[[#This Row],[Date]])</f>
        <v>2019</v>
      </c>
      <c r="D449" s="5">
        <v>43776</v>
      </c>
      <c r="E449" s="1" t="s">
        <v>128</v>
      </c>
      <c r="F449" s="1">
        <v>61874</v>
      </c>
      <c r="G449" s="1" t="s">
        <v>26</v>
      </c>
      <c r="H449" s="1" t="s">
        <v>162</v>
      </c>
      <c r="I449" s="1" t="s">
        <v>0</v>
      </c>
      <c r="J449" s="1">
        <v>5</v>
      </c>
      <c r="K449" s="1">
        <f>J449*(IF(I449=ProdFam[[#Headers],[Test]],(VLOOKUP(Data[[#This Row],[Product Family]],ProdFam[],3,FALSE)),(VLOOKUP(Data[[#This Row],[Product Family]],ProdFam[],2,FALSE))))</f>
        <v>50</v>
      </c>
      <c r="L449" s="1">
        <v>35</v>
      </c>
      <c r="M449" s="1">
        <v>5</v>
      </c>
      <c r="N449" s="7">
        <f>IFERROR(Data[[#This Row],[Actual Time]]/Data[[#This Row],[QTY Complete]],"")</f>
        <v>7</v>
      </c>
      <c r="O449" s="7">
        <f>IF(I449=ProdFam[[#Headers],[Test]],(VLOOKUP(Data[[#This Row],[Product Family]],ProdFam[],3,FALSE)),(VLOOKUP(Data[[#This Row],[Product Family]],ProdFam[],2,FALSE)))</f>
        <v>10</v>
      </c>
    </row>
    <row r="450" spans="2:15" x14ac:dyDescent="0.25">
      <c r="B450" s="1">
        <f>WEEKNUM(Data[[#This Row],[Date]],1)</f>
        <v>45</v>
      </c>
      <c r="C450" s="15">
        <f>YEAR(Data[[#This Row],[Date]])</f>
        <v>2019</v>
      </c>
      <c r="D450" s="5">
        <v>43776</v>
      </c>
      <c r="E450" s="1" t="s">
        <v>128</v>
      </c>
      <c r="F450" s="1">
        <v>61977</v>
      </c>
      <c r="G450" s="1" t="s">
        <v>28</v>
      </c>
      <c r="H450" s="1" t="s">
        <v>162</v>
      </c>
      <c r="I450" s="1" t="s">
        <v>0</v>
      </c>
      <c r="J450" s="1">
        <v>2</v>
      </c>
      <c r="K450" s="1">
        <f>J450*(IF(I450=ProdFam[[#Headers],[Test]],(VLOOKUP(Data[[#This Row],[Product Family]],ProdFam[],3,FALSE)),(VLOOKUP(Data[[#This Row],[Product Family]],ProdFam[],2,FALSE))))</f>
        <v>20</v>
      </c>
      <c r="L450" s="1">
        <v>10</v>
      </c>
      <c r="M450" s="1">
        <v>2</v>
      </c>
      <c r="N450" s="7">
        <f>IFERROR(Data[[#This Row],[Actual Time]]/Data[[#This Row],[QTY Complete]],"")</f>
        <v>5</v>
      </c>
      <c r="O450" s="7">
        <f>IF(I450=ProdFam[[#Headers],[Test]],(VLOOKUP(Data[[#This Row],[Product Family]],ProdFam[],3,FALSE)),(VLOOKUP(Data[[#This Row],[Product Family]],ProdFam[],2,FALSE)))</f>
        <v>10</v>
      </c>
    </row>
    <row r="451" spans="2:15" x14ac:dyDescent="0.25">
      <c r="B451" s="1">
        <f>WEEKNUM(Data[[#This Row],[Date]],1)</f>
        <v>45</v>
      </c>
      <c r="C451" s="15">
        <f>YEAR(Data[[#This Row],[Date]])</f>
        <v>2019</v>
      </c>
      <c r="D451" s="5">
        <v>43776</v>
      </c>
      <c r="E451" s="1" t="s">
        <v>128</v>
      </c>
      <c r="F451" s="1">
        <v>61813</v>
      </c>
      <c r="G451" s="1" t="s">
        <v>16</v>
      </c>
      <c r="H451" s="1" t="s">
        <v>162</v>
      </c>
      <c r="I451" s="1" t="s">
        <v>0</v>
      </c>
      <c r="J451" s="1">
        <v>2</v>
      </c>
      <c r="K451" s="1">
        <f>J451*(IF(I451=ProdFam[[#Headers],[Test]],(VLOOKUP(Data[[#This Row],[Product Family]],ProdFam[],3,FALSE)),(VLOOKUP(Data[[#This Row],[Product Family]],ProdFam[],2,FALSE))))</f>
        <v>20</v>
      </c>
      <c r="L451" s="1">
        <v>15</v>
      </c>
      <c r="M451" s="1">
        <v>2</v>
      </c>
      <c r="N451" s="7">
        <f>IFERROR(Data[[#This Row],[Actual Time]]/Data[[#This Row],[QTY Complete]],"")</f>
        <v>7.5</v>
      </c>
      <c r="O451" s="7">
        <f>IF(I451=ProdFam[[#Headers],[Test]],(VLOOKUP(Data[[#This Row],[Product Family]],ProdFam[],3,FALSE)),(VLOOKUP(Data[[#This Row],[Product Family]],ProdFam[],2,FALSE)))</f>
        <v>10</v>
      </c>
    </row>
    <row r="452" spans="2:15" x14ac:dyDescent="0.25">
      <c r="B452" s="1">
        <f>WEEKNUM(Data[[#This Row],[Date]],1)</f>
        <v>45</v>
      </c>
      <c r="C452" s="15">
        <f>YEAR(Data[[#This Row],[Date]])</f>
        <v>2019</v>
      </c>
      <c r="D452" s="5">
        <v>43776</v>
      </c>
      <c r="E452" s="1" t="s">
        <v>128</v>
      </c>
      <c r="F452" s="1">
        <v>61735</v>
      </c>
      <c r="G452" s="1" t="s">
        <v>59</v>
      </c>
      <c r="H452" s="1" t="s">
        <v>162</v>
      </c>
      <c r="I452" s="1" t="s">
        <v>0</v>
      </c>
      <c r="J452" s="1">
        <v>6</v>
      </c>
      <c r="K452" s="1">
        <f>J452*(IF(I452=ProdFam[[#Headers],[Test]],(VLOOKUP(Data[[#This Row],[Product Family]],ProdFam[],3,FALSE)),(VLOOKUP(Data[[#This Row],[Product Family]],ProdFam[],2,FALSE))))</f>
        <v>60</v>
      </c>
      <c r="L452" s="1">
        <v>30</v>
      </c>
      <c r="M452" s="1">
        <v>6</v>
      </c>
      <c r="N452" s="7">
        <f>IFERROR(Data[[#This Row],[Actual Time]]/Data[[#This Row],[QTY Complete]],"")</f>
        <v>5</v>
      </c>
      <c r="O452" s="7">
        <f>IF(I452=ProdFam[[#Headers],[Test]],(VLOOKUP(Data[[#This Row],[Product Family]],ProdFam[],3,FALSE)),(VLOOKUP(Data[[#This Row],[Product Family]],ProdFam[],2,FALSE)))</f>
        <v>10</v>
      </c>
    </row>
    <row r="453" spans="2:15" x14ac:dyDescent="0.25">
      <c r="B453" s="1">
        <f>WEEKNUM(Data[[#This Row],[Date]],1)</f>
        <v>45</v>
      </c>
      <c r="C453" s="15">
        <f>YEAR(Data[[#This Row],[Date]])</f>
        <v>2019</v>
      </c>
      <c r="D453" s="5">
        <v>43776</v>
      </c>
      <c r="E453" s="1" t="s">
        <v>128</v>
      </c>
      <c r="F453" s="1">
        <v>61876</v>
      </c>
      <c r="G453" s="1" t="s">
        <v>27</v>
      </c>
      <c r="H453" s="1" t="s">
        <v>162</v>
      </c>
      <c r="I453" s="1" t="s">
        <v>0</v>
      </c>
      <c r="J453" s="1">
        <v>1</v>
      </c>
      <c r="K453" s="1">
        <f>J453*(IF(I453=ProdFam[[#Headers],[Test]],(VLOOKUP(Data[[#This Row],[Product Family]],ProdFam[],3,FALSE)),(VLOOKUP(Data[[#This Row],[Product Family]],ProdFam[],2,FALSE))))</f>
        <v>10</v>
      </c>
      <c r="L453" s="1">
        <v>14</v>
      </c>
      <c r="M453" s="1">
        <v>1</v>
      </c>
      <c r="N453" s="7">
        <f>IFERROR(Data[[#This Row],[Actual Time]]/Data[[#This Row],[QTY Complete]],"")</f>
        <v>14</v>
      </c>
      <c r="O453" s="7">
        <f>IF(I453=ProdFam[[#Headers],[Test]],(VLOOKUP(Data[[#This Row],[Product Family]],ProdFam[],3,FALSE)),(VLOOKUP(Data[[#This Row],[Product Family]],ProdFam[],2,FALSE)))</f>
        <v>10</v>
      </c>
    </row>
    <row r="454" spans="2:15" x14ac:dyDescent="0.25">
      <c r="B454" s="1">
        <f>WEEKNUM(Data[[#This Row],[Date]],1)</f>
        <v>45</v>
      </c>
      <c r="C454" s="15">
        <f>YEAR(Data[[#This Row],[Date]])</f>
        <v>2019</v>
      </c>
      <c r="D454" s="5">
        <v>43776</v>
      </c>
      <c r="E454" s="1" t="s">
        <v>128</v>
      </c>
      <c r="F454" s="1">
        <v>60536</v>
      </c>
      <c r="G454" s="1" t="s">
        <v>50</v>
      </c>
      <c r="H454" s="1" t="s">
        <v>162</v>
      </c>
      <c r="I454" s="1" t="s">
        <v>0</v>
      </c>
      <c r="J454" s="1">
        <v>1</v>
      </c>
      <c r="K454" s="1">
        <f>J454*(IF(I454=ProdFam[[#Headers],[Test]],(VLOOKUP(Data[[#This Row],[Product Family]],ProdFam[],3,FALSE)),(VLOOKUP(Data[[#This Row],[Product Family]],ProdFam[],2,FALSE))))</f>
        <v>10</v>
      </c>
      <c r="L454" s="1">
        <v>11</v>
      </c>
      <c r="M454" s="1">
        <v>1</v>
      </c>
      <c r="N454" s="7">
        <f>IFERROR(Data[[#This Row],[Actual Time]]/Data[[#This Row],[QTY Complete]],"")</f>
        <v>11</v>
      </c>
      <c r="O454" s="7">
        <f>IF(I454=ProdFam[[#Headers],[Test]],(VLOOKUP(Data[[#This Row],[Product Family]],ProdFam[],3,FALSE)),(VLOOKUP(Data[[#This Row],[Product Family]],ProdFam[],2,FALSE)))</f>
        <v>10</v>
      </c>
    </row>
    <row r="455" spans="2:15" x14ac:dyDescent="0.25">
      <c r="B455" s="1">
        <f>WEEKNUM(Data[[#This Row],[Date]],1)</f>
        <v>45</v>
      </c>
      <c r="C455" s="15">
        <f>YEAR(Data[[#This Row],[Date]])</f>
        <v>2019</v>
      </c>
      <c r="D455" s="5">
        <v>43776</v>
      </c>
      <c r="E455" s="1" t="s">
        <v>128</v>
      </c>
      <c r="F455" s="1">
        <v>61380</v>
      </c>
      <c r="G455" s="1" t="s">
        <v>11</v>
      </c>
      <c r="H455" s="1" t="s">
        <v>162</v>
      </c>
      <c r="I455" s="1" t="s">
        <v>0</v>
      </c>
      <c r="J455" s="1">
        <v>1</v>
      </c>
      <c r="K455" s="1">
        <f>J455*(IF(I455=ProdFam[[#Headers],[Test]],(VLOOKUP(Data[[#This Row],[Product Family]],ProdFam[],3,FALSE)),(VLOOKUP(Data[[#This Row],[Product Family]],ProdFam[],2,FALSE))))</f>
        <v>10</v>
      </c>
      <c r="L455" s="1">
        <v>15</v>
      </c>
      <c r="M455" s="1">
        <v>1</v>
      </c>
      <c r="N455" s="7">
        <f>IFERROR(Data[[#This Row],[Actual Time]]/Data[[#This Row],[QTY Complete]],"")</f>
        <v>15</v>
      </c>
      <c r="O455" s="7">
        <f>IF(I455=ProdFam[[#Headers],[Test]],(VLOOKUP(Data[[#This Row],[Product Family]],ProdFam[],3,FALSE)),(VLOOKUP(Data[[#This Row],[Product Family]],ProdFam[],2,FALSE)))</f>
        <v>10</v>
      </c>
    </row>
    <row r="456" spans="2:15" x14ac:dyDescent="0.25">
      <c r="B456" s="1">
        <f>WEEKNUM(Data[[#This Row],[Date]],1)</f>
        <v>45</v>
      </c>
      <c r="C456" s="15">
        <f>YEAR(Data[[#This Row],[Date]])</f>
        <v>2019</v>
      </c>
      <c r="D456" s="5">
        <v>43776</v>
      </c>
      <c r="E456" s="1" t="s">
        <v>128</v>
      </c>
      <c r="F456" s="1">
        <v>61938</v>
      </c>
      <c r="G456" s="1" t="s">
        <v>26</v>
      </c>
      <c r="H456" s="1" t="s">
        <v>162</v>
      </c>
      <c r="I456" s="1" t="s">
        <v>0</v>
      </c>
      <c r="J456" s="1">
        <v>1</v>
      </c>
      <c r="K456" s="1">
        <f>J456*(IF(I456=ProdFam[[#Headers],[Test]],(VLOOKUP(Data[[#This Row],[Product Family]],ProdFam[],3,FALSE)),(VLOOKUP(Data[[#This Row],[Product Family]],ProdFam[],2,FALSE))))</f>
        <v>10</v>
      </c>
      <c r="L456" s="1">
        <v>10</v>
      </c>
      <c r="M456" s="1">
        <v>1</v>
      </c>
      <c r="N456" s="7">
        <f>IFERROR(Data[[#This Row],[Actual Time]]/Data[[#This Row],[QTY Complete]],"")</f>
        <v>10</v>
      </c>
      <c r="O456" s="7">
        <f>IF(I456=ProdFam[[#Headers],[Test]],(VLOOKUP(Data[[#This Row],[Product Family]],ProdFam[],3,FALSE)),(VLOOKUP(Data[[#This Row],[Product Family]],ProdFam[],2,FALSE)))</f>
        <v>10</v>
      </c>
    </row>
    <row r="457" spans="2:15" x14ac:dyDescent="0.25">
      <c r="B457" s="1">
        <f>WEEKNUM(Data[[#This Row],[Date]],1)</f>
        <v>45</v>
      </c>
      <c r="C457" s="15">
        <f>YEAR(Data[[#This Row],[Date]])</f>
        <v>2019</v>
      </c>
      <c r="D457" s="5">
        <v>43777</v>
      </c>
      <c r="E457" s="1" t="s">
        <v>122</v>
      </c>
      <c r="F457" s="1">
        <v>28821</v>
      </c>
      <c r="G457" s="1" t="s">
        <v>85</v>
      </c>
      <c r="H457" s="1" t="s">
        <v>123</v>
      </c>
      <c r="I457" s="1" t="s">
        <v>0</v>
      </c>
      <c r="J457" s="1">
        <v>10</v>
      </c>
      <c r="K457" s="1">
        <f>J457*(IF(I457=ProdFam[[#Headers],[Test]],(VLOOKUP(Data[[#This Row],[Product Family]],ProdFam[],3,FALSE)),(VLOOKUP(Data[[#This Row],[Product Family]],ProdFam[],2,FALSE))))</f>
        <v>900</v>
      </c>
      <c r="L457" s="1">
        <v>375</v>
      </c>
      <c r="M457" s="1">
        <v>10</v>
      </c>
      <c r="N457" s="7">
        <f>IFERROR(Data[[#This Row],[Actual Time]]/Data[[#This Row],[QTY Complete]],"")</f>
        <v>37.5</v>
      </c>
      <c r="O457" s="7">
        <f>IF(I457=ProdFam[[#Headers],[Test]],(VLOOKUP(Data[[#This Row],[Product Family]],ProdFam[],3,FALSE)),(VLOOKUP(Data[[#This Row],[Product Family]],ProdFam[],2,FALSE)))</f>
        <v>90</v>
      </c>
    </row>
    <row r="458" spans="2:15" x14ac:dyDescent="0.25">
      <c r="B458" s="1">
        <f>WEEKNUM(Data[[#This Row],[Date]],1)</f>
        <v>45</v>
      </c>
      <c r="C458" s="15">
        <f>YEAR(Data[[#This Row],[Date]])</f>
        <v>2019</v>
      </c>
      <c r="D458" s="5">
        <v>43777</v>
      </c>
      <c r="E458" s="1" t="s">
        <v>122</v>
      </c>
      <c r="F458" s="1">
        <v>28970</v>
      </c>
      <c r="G458" s="1" t="s">
        <v>28</v>
      </c>
      <c r="H458" s="1" t="s">
        <v>113</v>
      </c>
      <c r="I458" s="1" t="s">
        <v>0</v>
      </c>
      <c r="J458" s="1">
        <v>8</v>
      </c>
      <c r="K458" s="1">
        <f>J458*(IF(I458=ProdFam[[#Headers],[Test]],(VLOOKUP(Data[[#This Row],[Product Family]],ProdFam[],3,FALSE)),(VLOOKUP(Data[[#This Row],[Product Family]],ProdFam[],2,FALSE))))</f>
        <v>376</v>
      </c>
      <c r="L458" s="1">
        <v>195</v>
      </c>
      <c r="M458" s="1">
        <v>0</v>
      </c>
      <c r="N458" s="7" t="str">
        <f>IFERROR(Data[[#This Row],[Actual Time]]/Data[[#This Row],[QTY Complete]],"")</f>
        <v/>
      </c>
      <c r="O458" s="7">
        <f>IF(I458=ProdFam[[#Headers],[Test]],(VLOOKUP(Data[[#This Row],[Product Family]],ProdFam[],3,FALSE)),(VLOOKUP(Data[[#This Row],[Product Family]],ProdFam[],2,FALSE)))</f>
        <v>47</v>
      </c>
    </row>
    <row r="459" spans="2:15" x14ac:dyDescent="0.25">
      <c r="B459" s="1">
        <f>WEEKNUM(Data[[#This Row],[Date]],1)</f>
        <v>45</v>
      </c>
      <c r="C459" s="15">
        <f>YEAR(Data[[#This Row],[Date]])</f>
        <v>2019</v>
      </c>
      <c r="D459" s="5">
        <v>43777</v>
      </c>
      <c r="E459" s="1" t="s">
        <v>118</v>
      </c>
      <c r="F459" s="1">
        <v>29170</v>
      </c>
      <c r="G459" s="1" t="s">
        <v>18</v>
      </c>
      <c r="H459" s="1" t="s">
        <v>115</v>
      </c>
      <c r="I459" s="1" t="s">
        <v>0</v>
      </c>
      <c r="J459" s="1">
        <v>16</v>
      </c>
      <c r="K459" s="1">
        <f>J459*(IF(I459=ProdFam[[#Headers],[Test]],(VLOOKUP(Data[[#This Row],[Product Family]],ProdFam[],3,FALSE)),(VLOOKUP(Data[[#This Row],[Product Family]],ProdFam[],2,FALSE))))</f>
        <v>128</v>
      </c>
      <c r="L459" s="1">
        <v>35</v>
      </c>
      <c r="M459" s="1">
        <v>16</v>
      </c>
      <c r="N459" s="7">
        <f>IFERROR(Data[[#This Row],[Actual Time]]/Data[[#This Row],[QTY Complete]],"")</f>
        <v>2.1875</v>
      </c>
      <c r="O459" s="7">
        <f>IF(I459=ProdFam[[#Headers],[Test]],(VLOOKUP(Data[[#This Row],[Product Family]],ProdFam[],3,FALSE)),(VLOOKUP(Data[[#This Row],[Product Family]],ProdFam[],2,FALSE)))</f>
        <v>8</v>
      </c>
    </row>
    <row r="460" spans="2:15" x14ac:dyDescent="0.25">
      <c r="B460" s="1">
        <f>WEEKNUM(Data[[#This Row],[Date]],1)</f>
        <v>45</v>
      </c>
      <c r="C460" s="15">
        <f>YEAR(Data[[#This Row],[Date]])</f>
        <v>2019</v>
      </c>
      <c r="D460" s="5">
        <v>43777</v>
      </c>
      <c r="E460" s="1" t="s">
        <v>118</v>
      </c>
      <c r="F460" s="1">
        <v>28964</v>
      </c>
      <c r="G460" s="1" t="s">
        <v>86</v>
      </c>
      <c r="H460" s="1" t="s">
        <v>132</v>
      </c>
      <c r="I460" s="1" t="s">
        <v>0</v>
      </c>
      <c r="J460" s="1">
        <v>10</v>
      </c>
      <c r="K460" s="1">
        <f>J460*(IF(I460=ProdFam[[#Headers],[Test]],(VLOOKUP(Data[[#This Row],[Product Family]],ProdFam[],3,FALSE)),(VLOOKUP(Data[[#This Row],[Product Family]],ProdFam[],2,FALSE))))</f>
        <v>230</v>
      </c>
      <c r="L460" s="1">
        <v>220</v>
      </c>
      <c r="M460" s="1">
        <v>10</v>
      </c>
      <c r="N460" s="7">
        <f>IFERROR(Data[[#This Row],[Actual Time]]/Data[[#This Row],[QTY Complete]],"")</f>
        <v>22</v>
      </c>
      <c r="O460" s="7">
        <f>IF(I460=ProdFam[[#Headers],[Test]],(VLOOKUP(Data[[#This Row],[Product Family]],ProdFam[],3,FALSE)),(VLOOKUP(Data[[#This Row],[Product Family]],ProdFam[],2,FALSE)))</f>
        <v>23</v>
      </c>
    </row>
    <row r="461" spans="2:15" x14ac:dyDescent="0.25">
      <c r="B461" s="1">
        <f>WEEKNUM(Data[[#This Row],[Date]],1)</f>
        <v>45</v>
      </c>
      <c r="C461" s="15">
        <f>YEAR(Data[[#This Row],[Date]])</f>
        <v>2019</v>
      </c>
      <c r="D461" s="5">
        <v>43777</v>
      </c>
      <c r="E461" s="1" t="s">
        <v>118</v>
      </c>
      <c r="F461" s="1">
        <v>28958</v>
      </c>
      <c r="G461" s="1" t="s">
        <v>87</v>
      </c>
      <c r="H461" s="1" t="s">
        <v>112</v>
      </c>
      <c r="I461" s="1" t="s">
        <v>0</v>
      </c>
      <c r="J461" s="1">
        <v>3</v>
      </c>
      <c r="K461" s="1">
        <f>J461*(IF(I461=ProdFam[[#Headers],[Test]],(VLOOKUP(Data[[#This Row],[Product Family]],ProdFam[],3,FALSE)),(VLOOKUP(Data[[#This Row],[Product Family]],ProdFam[],2,FALSE))))</f>
        <v>30</v>
      </c>
      <c r="L461" s="1">
        <v>80</v>
      </c>
      <c r="M461" s="1">
        <v>3</v>
      </c>
      <c r="N461" s="7">
        <f>IFERROR(Data[[#This Row],[Actual Time]]/Data[[#This Row],[QTY Complete]],"")</f>
        <v>26.666666666666668</v>
      </c>
      <c r="O461" s="7">
        <f>IF(I461=ProdFam[[#Headers],[Test]],(VLOOKUP(Data[[#This Row],[Product Family]],ProdFam[],3,FALSE)),(VLOOKUP(Data[[#This Row],[Product Family]],ProdFam[],2,FALSE)))</f>
        <v>10</v>
      </c>
    </row>
    <row r="462" spans="2:15" x14ac:dyDescent="0.25">
      <c r="B462" s="1">
        <f>WEEKNUM(Data[[#This Row],[Date]],1)</f>
        <v>45</v>
      </c>
      <c r="C462" s="15">
        <f>YEAR(Data[[#This Row],[Date]])</f>
        <v>2019</v>
      </c>
      <c r="D462" s="5">
        <v>43777</v>
      </c>
      <c r="E462" s="1" t="s">
        <v>118</v>
      </c>
      <c r="F462" s="1">
        <v>28978</v>
      </c>
      <c r="G462" s="1" t="s">
        <v>17</v>
      </c>
      <c r="H462" s="1" t="s">
        <v>113</v>
      </c>
      <c r="I462" s="1" t="s">
        <v>0</v>
      </c>
      <c r="J462" s="1">
        <v>1</v>
      </c>
      <c r="K462" s="1">
        <f>J462*(IF(I462=ProdFam[[#Headers],[Test]],(VLOOKUP(Data[[#This Row],[Product Family]],ProdFam[],3,FALSE)),(VLOOKUP(Data[[#This Row],[Product Family]],ProdFam[],2,FALSE))))</f>
        <v>47</v>
      </c>
      <c r="L462" s="1">
        <v>12</v>
      </c>
      <c r="M462" s="1">
        <v>0</v>
      </c>
      <c r="N462" s="7" t="str">
        <f>IFERROR(Data[[#This Row],[Actual Time]]/Data[[#This Row],[QTY Complete]],"")</f>
        <v/>
      </c>
      <c r="O462" s="7">
        <f>IF(I462=ProdFam[[#Headers],[Test]],(VLOOKUP(Data[[#This Row],[Product Family]],ProdFam[],3,FALSE)),(VLOOKUP(Data[[#This Row],[Product Family]],ProdFam[],2,FALSE)))</f>
        <v>47</v>
      </c>
    </row>
    <row r="463" spans="2:15" x14ac:dyDescent="0.25">
      <c r="B463" s="1">
        <f>WEEKNUM(Data[[#This Row],[Date]],1)</f>
        <v>45</v>
      </c>
      <c r="C463" s="15">
        <f>YEAR(Data[[#This Row],[Date]])</f>
        <v>2019</v>
      </c>
      <c r="D463" s="5">
        <v>43777</v>
      </c>
      <c r="E463" s="1" t="s">
        <v>128</v>
      </c>
      <c r="F463" s="1">
        <v>61939</v>
      </c>
      <c r="G463" s="1" t="s">
        <v>25</v>
      </c>
      <c r="H463" s="1" t="s">
        <v>162</v>
      </c>
      <c r="I463" s="1" t="s">
        <v>0</v>
      </c>
      <c r="J463" s="1">
        <v>1</v>
      </c>
      <c r="K463" s="1">
        <f>J463*(IF(I463=ProdFam[[#Headers],[Test]],(VLOOKUP(Data[[#This Row],[Product Family]],ProdFam[],3,FALSE)),(VLOOKUP(Data[[#This Row],[Product Family]],ProdFam[],2,FALSE))))</f>
        <v>10</v>
      </c>
      <c r="L463" s="1">
        <v>10</v>
      </c>
      <c r="M463" s="1">
        <v>1</v>
      </c>
      <c r="N463" s="7">
        <f>IFERROR(Data[[#This Row],[Actual Time]]/Data[[#This Row],[QTY Complete]],"")</f>
        <v>10</v>
      </c>
      <c r="O463" s="7">
        <f>IF(I463=ProdFam[[#Headers],[Test]],(VLOOKUP(Data[[#This Row],[Product Family]],ProdFam[],3,FALSE)),(VLOOKUP(Data[[#This Row],[Product Family]],ProdFam[],2,FALSE)))</f>
        <v>10</v>
      </c>
    </row>
    <row r="464" spans="2:15" x14ac:dyDescent="0.25">
      <c r="B464" s="1">
        <f>WEEKNUM(Data[[#This Row],[Date]],1)</f>
        <v>45</v>
      </c>
      <c r="C464" s="15">
        <f>YEAR(Data[[#This Row],[Date]])</f>
        <v>2019</v>
      </c>
      <c r="D464" s="5">
        <v>43777</v>
      </c>
      <c r="E464" s="1" t="s">
        <v>128</v>
      </c>
      <c r="F464" s="1">
        <v>61929</v>
      </c>
      <c r="G464" s="1" t="s">
        <v>25</v>
      </c>
      <c r="H464" s="1" t="s">
        <v>162</v>
      </c>
      <c r="I464" s="1" t="s">
        <v>0</v>
      </c>
      <c r="J464" s="1">
        <v>2</v>
      </c>
      <c r="K464" s="1">
        <f>J464*(IF(I464=ProdFam[[#Headers],[Test]],(VLOOKUP(Data[[#This Row],[Product Family]],ProdFam[],3,FALSE)),(VLOOKUP(Data[[#This Row],[Product Family]],ProdFam[],2,FALSE))))</f>
        <v>20</v>
      </c>
      <c r="L464" s="1">
        <v>20</v>
      </c>
      <c r="M464" s="1">
        <v>2</v>
      </c>
      <c r="N464" s="7">
        <f>IFERROR(Data[[#This Row],[Actual Time]]/Data[[#This Row],[QTY Complete]],"")</f>
        <v>10</v>
      </c>
      <c r="O464" s="7">
        <f>IF(I464=ProdFam[[#Headers],[Test]],(VLOOKUP(Data[[#This Row],[Product Family]],ProdFam[],3,FALSE)),(VLOOKUP(Data[[#This Row],[Product Family]],ProdFam[],2,FALSE)))</f>
        <v>10</v>
      </c>
    </row>
    <row r="465" spans="2:15" x14ac:dyDescent="0.25">
      <c r="B465" s="1">
        <f>WEEKNUM(Data[[#This Row],[Date]],1)</f>
        <v>45</v>
      </c>
      <c r="C465" s="15">
        <f>YEAR(Data[[#This Row],[Date]])</f>
        <v>2019</v>
      </c>
      <c r="D465" s="5">
        <v>43777</v>
      </c>
      <c r="E465" s="1" t="s">
        <v>128</v>
      </c>
      <c r="F465" s="1">
        <v>29158</v>
      </c>
      <c r="G465" s="1" t="s">
        <v>88</v>
      </c>
      <c r="H465" s="1" t="s">
        <v>113</v>
      </c>
      <c r="I465" s="1" t="s">
        <v>0</v>
      </c>
      <c r="J465" s="1">
        <v>4</v>
      </c>
      <c r="K465" s="1">
        <f>J465*(IF(I465=ProdFam[[#Headers],[Test]],(VLOOKUP(Data[[#This Row],[Product Family]],ProdFam[],3,FALSE)),(VLOOKUP(Data[[#This Row],[Product Family]],ProdFam[],2,FALSE))))</f>
        <v>188</v>
      </c>
      <c r="L465" s="1">
        <v>40</v>
      </c>
      <c r="M465" s="1">
        <v>4</v>
      </c>
      <c r="N465" s="7">
        <f>IFERROR(Data[[#This Row],[Actual Time]]/Data[[#This Row],[QTY Complete]],"")</f>
        <v>10</v>
      </c>
      <c r="O465" s="7">
        <f>IF(I465=ProdFam[[#Headers],[Test]],(VLOOKUP(Data[[#This Row],[Product Family]],ProdFam[],3,FALSE)),(VLOOKUP(Data[[#This Row],[Product Family]],ProdFam[],2,FALSE)))</f>
        <v>47</v>
      </c>
    </row>
    <row r="466" spans="2:15" x14ac:dyDescent="0.25">
      <c r="B466" s="1">
        <f>WEEKNUM(Data[[#This Row],[Date]],1)</f>
        <v>45</v>
      </c>
      <c r="C466" s="15">
        <f>YEAR(Data[[#This Row],[Date]])</f>
        <v>2019</v>
      </c>
      <c r="D466" s="5">
        <v>43777</v>
      </c>
      <c r="E466" s="1" t="s">
        <v>128</v>
      </c>
      <c r="F466" s="1">
        <v>28984</v>
      </c>
      <c r="G466" s="1" t="s">
        <v>9</v>
      </c>
      <c r="H466" s="1" t="s">
        <v>112</v>
      </c>
      <c r="I466" s="1" t="s">
        <v>0</v>
      </c>
      <c r="J466" s="1">
        <v>18</v>
      </c>
      <c r="K466" s="1">
        <f>J466*(IF(I466=ProdFam[[#Headers],[Test]],(VLOOKUP(Data[[#This Row],[Product Family]],ProdFam[],3,FALSE)),(VLOOKUP(Data[[#This Row],[Product Family]],ProdFam[],2,FALSE))))</f>
        <v>180</v>
      </c>
      <c r="L466" s="1">
        <v>285</v>
      </c>
      <c r="M466" s="1">
        <v>7</v>
      </c>
      <c r="N466" s="7">
        <f>IFERROR(Data[[#This Row],[Actual Time]]/Data[[#This Row],[QTY Complete]],"")</f>
        <v>40.714285714285715</v>
      </c>
      <c r="O466" s="7">
        <f>IF(I466=ProdFam[[#Headers],[Test]],(VLOOKUP(Data[[#This Row],[Product Family]],ProdFam[],3,FALSE)),(VLOOKUP(Data[[#This Row],[Product Family]],ProdFam[],2,FALSE)))</f>
        <v>10</v>
      </c>
    </row>
    <row r="467" spans="2:15" x14ac:dyDescent="0.25">
      <c r="B467" s="1">
        <f>WEEKNUM(Data[[#This Row],[Date]],1)</f>
        <v>45</v>
      </c>
      <c r="C467" s="15">
        <f>YEAR(Data[[#This Row],[Date]])</f>
        <v>2019</v>
      </c>
      <c r="D467" s="5">
        <v>43777</v>
      </c>
      <c r="E467" s="1" t="s">
        <v>131</v>
      </c>
      <c r="F467" s="1">
        <v>28960</v>
      </c>
      <c r="G467" s="1" t="s">
        <v>15</v>
      </c>
      <c r="H467" s="1" t="s">
        <v>113</v>
      </c>
      <c r="I467" s="1" t="s">
        <v>0</v>
      </c>
      <c r="J467" s="1">
        <v>8</v>
      </c>
      <c r="K467" s="1">
        <f>J467*(IF(I467=ProdFam[[#Headers],[Test]],(VLOOKUP(Data[[#This Row],[Product Family]],ProdFam[],3,FALSE)),(VLOOKUP(Data[[#This Row],[Product Family]],ProdFam[],2,FALSE))))</f>
        <v>376</v>
      </c>
      <c r="L467" s="1">
        <v>180</v>
      </c>
      <c r="M467" s="1">
        <v>8</v>
      </c>
      <c r="N467" s="7">
        <f>IFERROR(Data[[#This Row],[Actual Time]]/Data[[#This Row],[QTY Complete]],"")</f>
        <v>22.5</v>
      </c>
      <c r="O467" s="7">
        <f>IF(I467=ProdFam[[#Headers],[Test]],(VLOOKUP(Data[[#This Row],[Product Family]],ProdFam[],3,FALSE)),(VLOOKUP(Data[[#This Row],[Product Family]],ProdFam[],2,FALSE)))</f>
        <v>47</v>
      </c>
    </row>
    <row r="468" spans="2:15" x14ac:dyDescent="0.25">
      <c r="B468" s="1">
        <f>WEEKNUM(Data[[#This Row],[Date]],1)</f>
        <v>45</v>
      </c>
      <c r="C468" s="15">
        <f>YEAR(Data[[#This Row],[Date]])</f>
        <v>2019</v>
      </c>
      <c r="D468" s="5">
        <v>43777</v>
      </c>
      <c r="E468" s="1" t="s">
        <v>131</v>
      </c>
      <c r="F468" s="1">
        <v>28980</v>
      </c>
      <c r="G468" s="1" t="s">
        <v>26</v>
      </c>
      <c r="H468" s="1" t="s">
        <v>113</v>
      </c>
      <c r="I468" s="1" t="s">
        <v>0</v>
      </c>
      <c r="J468" s="1">
        <v>3</v>
      </c>
      <c r="K468" s="1">
        <f>J468*(IF(I468=ProdFam[[#Headers],[Test]],(VLOOKUP(Data[[#This Row],[Product Family]],ProdFam[],3,FALSE)),(VLOOKUP(Data[[#This Row],[Product Family]],ProdFam[],2,FALSE))))</f>
        <v>141</v>
      </c>
      <c r="L468" s="1">
        <v>240</v>
      </c>
      <c r="M468" s="1">
        <v>0</v>
      </c>
      <c r="N468" s="7" t="str">
        <f>IFERROR(Data[[#This Row],[Actual Time]]/Data[[#This Row],[QTY Complete]],"")</f>
        <v/>
      </c>
      <c r="O468" s="7">
        <f>IF(I468=ProdFam[[#Headers],[Test]],(VLOOKUP(Data[[#This Row],[Product Family]],ProdFam[],3,FALSE)),(VLOOKUP(Data[[#This Row],[Product Family]],ProdFam[],2,FALSE)))</f>
        <v>47</v>
      </c>
    </row>
    <row r="469" spans="2:15" x14ac:dyDescent="0.25">
      <c r="B469" s="1">
        <f>WEEKNUM(Data[[#This Row],[Date]],1)</f>
        <v>45</v>
      </c>
      <c r="C469" s="15">
        <f>YEAR(Data[[#This Row],[Date]])</f>
        <v>2019</v>
      </c>
      <c r="D469" s="5">
        <v>43777</v>
      </c>
      <c r="E469" s="1" t="s">
        <v>111</v>
      </c>
      <c r="F469" s="1">
        <v>28963</v>
      </c>
      <c r="G469" s="1" t="s">
        <v>84</v>
      </c>
      <c r="H469" s="1" t="s">
        <v>112</v>
      </c>
      <c r="I469" s="1" t="s">
        <v>1</v>
      </c>
      <c r="J469" s="1">
        <v>12</v>
      </c>
      <c r="K469" s="1">
        <f>J469*(IF(I469=ProdFam[[#Headers],[Test]],(VLOOKUP(Data[[#This Row],[Product Family]],ProdFam[],3,FALSE)),(VLOOKUP(Data[[#This Row],[Product Family]],ProdFam[],2,FALSE))))</f>
        <v>120</v>
      </c>
      <c r="L469" s="1">
        <v>120</v>
      </c>
      <c r="M469" s="1">
        <v>12</v>
      </c>
      <c r="N469" s="7">
        <f>IFERROR(Data[[#This Row],[Actual Time]]/Data[[#This Row],[QTY Complete]],"")</f>
        <v>10</v>
      </c>
      <c r="O469" s="7">
        <f>IF(I469=ProdFam[[#Headers],[Test]],(VLOOKUP(Data[[#This Row],[Product Family]],ProdFam[],3,FALSE)),(VLOOKUP(Data[[#This Row],[Product Family]],ProdFam[],2,FALSE)))</f>
        <v>10</v>
      </c>
    </row>
    <row r="470" spans="2:15" x14ac:dyDescent="0.25">
      <c r="B470" s="1">
        <f>WEEKNUM(Data[[#This Row],[Date]],1)</f>
        <v>45</v>
      </c>
      <c r="C470" s="15">
        <f>YEAR(Data[[#This Row],[Date]])</f>
        <v>2019</v>
      </c>
      <c r="D470" s="5">
        <v>43777</v>
      </c>
      <c r="E470" s="1" t="s">
        <v>111</v>
      </c>
      <c r="F470" s="1">
        <v>28943</v>
      </c>
      <c r="G470" s="1" t="s">
        <v>8</v>
      </c>
      <c r="H470" s="1" t="s">
        <v>112</v>
      </c>
      <c r="I470" s="1" t="s">
        <v>1</v>
      </c>
      <c r="J470" s="1">
        <v>21</v>
      </c>
      <c r="K470" s="1">
        <f>J470*(IF(I470=ProdFam[[#Headers],[Test]],(VLOOKUP(Data[[#This Row],[Product Family]],ProdFam[],3,FALSE)),(VLOOKUP(Data[[#This Row],[Product Family]],ProdFam[],2,FALSE))))</f>
        <v>210</v>
      </c>
      <c r="L470" s="1">
        <v>150</v>
      </c>
      <c r="M470" s="1">
        <v>21</v>
      </c>
      <c r="N470" s="7">
        <f>IFERROR(Data[[#This Row],[Actual Time]]/Data[[#This Row],[QTY Complete]],"")</f>
        <v>7.1428571428571432</v>
      </c>
      <c r="O470" s="7">
        <f>IF(I470=ProdFam[[#Headers],[Test]],(VLOOKUP(Data[[#This Row],[Product Family]],ProdFam[],3,FALSE)),(VLOOKUP(Data[[#This Row],[Product Family]],ProdFam[],2,FALSE)))</f>
        <v>10</v>
      </c>
    </row>
    <row r="471" spans="2:15" x14ac:dyDescent="0.25">
      <c r="B471" s="1">
        <f>WEEKNUM(Data[[#This Row],[Date]],1)</f>
        <v>45</v>
      </c>
      <c r="C471" s="15">
        <f>YEAR(Data[[#This Row],[Date]])</f>
        <v>2019</v>
      </c>
      <c r="D471" s="5">
        <v>43777</v>
      </c>
      <c r="E471" s="1" t="s">
        <v>111</v>
      </c>
      <c r="F471" s="1">
        <v>28960</v>
      </c>
      <c r="G471" s="1" t="s">
        <v>15</v>
      </c>
      <c r="H471" s="1" t="s">
        <v>113</v>
      </c>
      <c r="I471" s="1" t="s">
        <v>1</v>
      </c>
      <c r="J471" s="1">
        <v>8</v>
      </c>
      <c r="K471" s="1">
        <f>J471*(IF(I471=ProdFam[[#Headers],[Test]],(VLOOKUP(Data[[#This Row],[Product Family]],ProdFam[],3,FALSE)),(VLOOKUP(Data[[#This Row],[Product Family]],ProdFam[],2,FALSE))))</f>
        <v>256</v>
      </c>
      <c r="L471" s="1">
        <v>120</v>
      </c>
      <c r="M471" s="1">
        <v>8</v>
      </c>
      <c r="N471" s="7">
        <f>IFERROR(Data[[#This Row],[Actual Time]]/Data[[#This Row],[QTY Complete]],"")</f>
        <v>15</v>
      </c>
      <c r="O471" s="7">
        <f>IF(I471=ProdFam[[#Headers],[Test]],(VLOOKUP(Data[[#This Row],[Product Family]],ProdFam[],3,FALSE)),(VLOOKUP(Data[[#This Row],[Product Family]],ProdFam[],2,FALSE)))</f>
        <v>32</v>
      </c>
    </row>
    <row r="472" spans="2:15" x14ac:dyDescent="0.25">
      <c r="B472" s="1">
        <f>WEEKNUM(Data[[#This Row],[Date]],1)</f>
        <v>45</v>
      </c>
      <c r="C472" s="15">
        <f>YEAR(Data[[#This Row],[Date]])</f>
        <v>2019</v>
      </c>
      <c r="D472" s="5">
        <v>43777</v>
      </c>
      <c r="E472" s="1" t="s">
        <v>119</v>
      </c>
      <c r="F472" s="1">
        <v>29125</v>
      </c>
      <c r="G472" s="1" t="s">
        <v>63</v>
      </c>
      <c r="H472" s="1" t="s">
        <v>115</v>
      </c>
      <c r="I472" s="1" t="s">
        <v>1</v>
      </c>
      <c r="J472" s="1">
        <v>50</v>
      </c>
      <c r="K472" s="1">
        <f>J472*(IF(I472=ProdFam[[#Headers],[Test]],(VLOOKUP(Data[[#This Row],[Product Family]],ProdFam[],3,FALSE)),(VLOOKUP(Data[[#This Row],[Product Family]],ProdFam[],2,FALSE))))</f>
        <v>1200</v>
      </c>
      <c r="L472" s="1">
        <v>225</v>
      </c>
      <c r="M472" s="1">
        <v>0</v>
      </c>
      <c r="N472" s="7" t="str">
        <f>IFERROR(Data[[#This Row],[Actual Time]]/Data[[#This Row],[QTY Complete]],"")</f>
        <v/>
      </c>
      <c r="O472" s="7">
        <f>IF(I472=ProdFam[[#Headers],[Test]],(VLOOKUP(Data[[#This Row],[Product Family]],ProdFam[],3,FALSE)),(VLOOKUP(Data[[#This Row],[Product Family]],ProdFam[],2,FALSE)))</f>
        <v>24</v>
      </c>
    </row>
    <row r="473" spans="2:15" x14ac:dyDescent="0.25">
      <c r="B473" s="1">
        <f>WEEKNUM(Data[[#This Row],[Date]],1)</f>
        <v>45</v>
      </c>
      <c r="C473" s="15">
        <f>YEAR(Data[[#This Row],[Date]])</f>
        <v>2019</v>
      </c>
      <c r="D473" s="5">
        <v>43777</v>
      </c>
      <c r="E473" s="1" t="s">
        <v>127</v>
      </c>
      <c r="F473" s="1">
        <v>29125</v>
      </c>
      <c r="G473" s="1" t="s">
        <v>63</v>
      </c>
      <c r="H473" s="1" t="s">
        <v>115</v>
      </c>
      <c r="I473" s="1" t="s">
        <v>1</v>
      </c>
      <c r="J473" s="1">
        <v>50</v>
      </c>
      <c r="K473" s="1">
        <f>J473*(IF(I473=ProdFam[[#Headers],[Test]],(VLOOKUP(Data[[#This Row],[Product Family]],ProdFam[],3,FALSE)),(VLOOKUP(Data[[#This Row],[Product Family]],ProdFam[],2,FALSE))))</f>
        <v>1200</v>
      </c>
      <c r="L473" s="1">
        <v>45</v>
      </c>
      <c r="M473" s="1">
        <v>16</v>
      </c>
      <c r="N473" s="7">
        <f>IFERROR(Data[[#This Row],[Actual Time]]/Data[[#This Row],[QTY Complete]],"")</f>
        <v>2.8125</v>
      </c>
      <c r="O473" s="7">
        <f>IF(I473=ProdFam[[#Headers],[Test]],(VLOOKUP(Data[[#This Row],[Product Family]],ProdFam[],3,FALSE)),(VLOOKUP(Data[[#This Row],[Product Family]],ProdFam[],2,FALSE)))</f>
        <v>24</v>
      </c>
    </row>
    <row r="474" spans="2:15" x14ac:dyDescent="0.25">
      <c r="B474" s="1">
        <f>WEEKNUM(Data[[#This Row],[Date]],1)</f>
        <v>44</v>
      </c>
      <c r="C474" s="15">
        <f>YEAR(Data[[#This Row],[Date]])</f>
        <v>2019</v>
      </c>
      <c r="D474" s="5">
        <v>43766</v>
      </c>
      <c r="E474" s="1" t="s">
        <v>119</v>
      </c>
      <c r="F474" s="1">
        <v>28824</v>
      </c>
      <c r="G474" s="1" t="s">
        <v>72</v>
      </c>
      <c r="H474" s="1" t="s">
        <v>115</v>
      </c>
      <c r="I474" s="1" t="s">
        <v>1</v>
      </c>
      <c r="J474" s="1">
        <v>6</v>
      </c>
      <c r="K474" s="1">
        <f>J474*(IF(I474=ProdFam[[#Headers],[Test]],(VLOOKUP(Data[[#This Row],[Product Family]],ProdFam[],3,FALSE)),(VLOOKUP(Data[[#This Row],[Product Family]],ProdFam[],2,FALSE))))</f>
        <v>144</v>
      </c>
      <c r="L474" s="1">
        <v>160</v>
      </c>
      <c r="M474" s="1">
        <v>6</v>
      </c>
      <c r="N474" s="7">
        <f>IFERROR(Data[[#This Row],[Actual Time]]/Data[[#This Row],[QTY Complete]],"")</f>
        <v>26.666666666666668</v>
      </c>
      <c r="O474" s="7">
        <f>IF(I474=ProdFam[[#Headers],[Test]],(VLOOKUP(Data[[#This Row],[Product Family]],ProdFam[],3,FALSE)),(VLOOKUP(Data[[#This Row],[Product Family]],ProdFam[],2,FALSE)))</f>
        <v>24</v>
      </c>
    </row>
    <row r="475" spans="2:15" x14ac:dyDescent="0.25">
      <c r="B475" s="1">
        <f>WEEKNUM(Data[[#This Row],[Date]],1)</f>
        <v>44</v>
      </c>
      <c r="C475" s="15">
        <f>YEAR(Data[[#This Row],[Date]])</f>
        <v>2019</v>
      </c>
      <c r="D475" s="5">
        <v>43766</v>
      </c>
      <c r="E475" s="1" t="s">
        <v>119</v>
      </c>
      <c r="F475" s="1">
        <v>28778</v>
      </c>
      <c r="G475" s="1" t="s">
        <v>63</v>
      </c>
      <c r="H475" s="1" t="s">
        <v>115</v>
      </c>
      <c r="I475" s="1" t="s">
        <v>0</v>
      </c>
      <c r="J475" s="1">
        <v>25</v>
      </c>
      <c r="K475" s="1">
        <f>J475*(IF(I475=ProdFam[[#Headers],[Test]],(VLOOKUP(Data[[#This Row],[Product Family]],ProdFam[],3,FALSE)),(VLOOKUP(Data[[#This Row],[Product Family]],ProdFam[],2,FALSE))))</f>
        <v>200</v>
      </c>
      <c r="L475" s="1">
        <v>150</v>
      </c>
      <c r="M475" s="1">
        <v>25</v>
      </c>
      <c r="N475" s="7">
        <f>IFERROR(Data[[#This Row],[Actual Time]]/Data[[#This Row],[QTY Complete]],"")</f>
        <v>6</v>
      </c>
      <c r="O475" s="7">
        <f>IF(I475=ProdFam[[#Headers],[Test]],(VLOOKUP(Data[[#This Row],[Product Family]],ProdFam[],3,FALSE)),(VLOOKUP(Data[[#This Row],[Product Family]],ProdFam[],2,FALSE)))</f>
        <v>8</v>
      </c>
    </row>
    <row r="476" spans="2:15" x14ac:dyDescent="0.25">
      <c r="B476" s="1">
        <f>WEEKNUM(Data[[#This Row],[Date]],1)</f>
        <v>44</v>
      </c>
      <c r="C476" s="15">
        <f>YEAR(Data[[#This Row],[Date]])</f>
        <v>2019</v>
      </c>
      <c r="D476" s="5">
        <v>43766</v>
      </c>
      <c r="E476" s="1" t="s">
        <v>119</v>
      </c>
      <c r="F476" s="1">
        <v>28778</v>
      </c>
      <c r="G476" s="1" t="s">
        <v>63</v>
      </c>
      <c r="H476" s="1" t="s">
        <v>115</v>
      </c>
      <c r="I476" s="1" t="s">
        <v>1</v>
      </c>
      <c r="J476" s="1">
        <v>25</v>
      </c>
      <c r="K476" s="1">
        <f>J476*(IF(I476=ProdFam[[#Headers],[Test]],(VLOOKUP(Data[[#This Row],[Product Family]],ProdFam[],3,FALSE)),(VLOOKUP(Data[[#This Row],[Product Family]],ProdFam[],2,FALSE))))</f>
        <v>600</v>
      </c>
      <c r="L476" s="1">
        <v>30</v>
      </c>
      <c r="M476" s="1">
        <v>0</v>
      </c>
      <c r="N476" s="7" t="str">
        <f>IFERROR(Data[[#This Row],[Actual Time]]/Data[[#This Row],[QTY Complete]],"")</f>
        <v/>
      </c>
      <c r="O476" s="7">
        <f>IF(I476=ProdFam[[#Headers],[Test]],(VLOOKUP(Data[[#This Row],[Product Family]],ProdFam[],3,FALSE)),(VLOOKUP(Data[[#This Row],[Product Family]],ProdFam[],2,FALSE)))</f>
        <v>24</v>
      </c>
    </row>
    <row r="477" spans="2:15" x14ac:dyDescent="0.25">
      <c r="B477" s="1">
        <f>WEEKNUM(Data[[#This Row],[Date]],1)</f>
        <v>46</v>
      </c>
      <c r="C477" s="15">
        <f>YEAR(Data[[#This Row],[Date]])</f>
        <v>2019</v>
      </c>
      <c r="D477" s="5">
        <v>43780</v>
      </c>
      <c r="E477" s="1" t="s">
        <v>131</v>
      </c>
      <c r="F477" s="1">
        <v>28980</v>
      </c>
      <c r="G477" s="1" t="s">
        <v>26</v>
      </c>
      <c r="H477" s="1" t="s">
        <v>113</v>
      </c>
      <c r="I477" s="1" t="s">
        <v>0</v>
      </c>
      <c r="J477" s="1">
        <v>3</v>
      </c>
      <c r="K477" s="1">
        <f>J477*(IF(I477=ProdFam[[#Headers],[Test]],(VLOOKUP(Data[[#This Row],[Product Family]],ProdFam[],3,FALSE)),(VLOOKUP(Data[[#This Row],[Product Family]],ProdFam[],2,FALSE))))</f>
        <v>141</v>
      </c>
      <c r="L477" s="1">
        <v>138</v>
      </c>
      <c r="M477" s="1">
        <v>3</v>
      </c>
      <c r="N477" s="7">
        <f>IFERROR(Data[[#This Row],[Actual Time]]/Data[[#This Row],[QTY Complete]],"")</f>
        <v>46</v>
      </c>
      <c r="O477" s="7">
        <f>IF(I477=ProdFam[[#Headers],[Test]],(VLOOKUP(Data[[#This Row],[Product Family]],ProdFam[],3,FALSE)),(VLOOKUP(Data[[#This Row],[Product Family]],ProdFam[],2,FALSE)))</f>
        <v>47</v>
      </c>
    </row>
    <row r="478" spans="2:15" x14ac:dyDescent="0.25">
      <c r="B478" s="1">
        <f>WEEKNUM(Data[[#This Row],[Date]],1)</f>
        <v>46</v>
      </c>
      <c r="C478" s="15">
        <f>YEAR(Data[[#This Row],[Date]])</f>
        <v>2019</v>
      </c>
      <c r="D478" s="5">
        <v>43780</v>
      </c>
      <c r="E478" s="1" t="s">
        <v>131</v>
      </c>
      <c r="F478" s="1">
        <v>28976</v>
      </c>
      <c r="G478" s="1" t="s">
        <v>11</v>
      </c>
      <c r="H478" s="1" t="s">
        <v>113</v>
      </c>
      <c r="I478" s="1" t="s">
        <v>0</v>
      </c>
      <c r="J478" s="1">
        <v>3</v>
      </c>
      <c r="K478" s="1">
        <f>J478*(IF(I478=ProdFam[[#Headers],[Test]],(VLOOKUP(Data[[#This Row],[Product Family]],ProdFam[],3,FALSE)),(VLOOKUP(Data[[#This Row],[Product Family]],ProdFam[],2,FALSE))))</f>
        <v>141</v>
      </c>
      <c r="L478" s="1">
        <v>295</v>
      </c>
      <c r="M478" s="1">
        <v>3</v>
      </c>
      <c r="N478" s="7">
        <f>IFERROR(Data[[#This Row],[Actual Time]]/Data[[#This Row],[QTY Complete]],"")</f>
        <v>98.333333333333329</v>
      </c>
      <c r="O478" s="7">
        <f>IF(I478=ProdFam[[#Headers],[Test]],(VLOOKUP(Data[[#This Row],[Product Family]],ProdFam[],3,FALSE)),(VLOOKUP(Data[[#This Row],[Product Family]],ProdFam[],2,FALSE)))</f>
        <v>47</v>
      </c>
    </row>
    <row r="479" spans="2:15" x14ac:dyDescent="0.25">
      <c r="B479" s="1">
        <f>WEEKNUM(Data[[#This Row],[Date]],1)</f>
        <v>46</v>
      </c>
      <c r="C479" s="15">
        <f>YEAR(Data[[#This Row],[Date]])</f>
        <v>2019</v>
      </c>
      <c r="D479" s="5">
        <v>43780</v>
      </c>
      <c r="E479" s="1" t="s">
        <v>119</v>
      </c>
      <c r="F479" s="1">
        <v>29125</v>
      </c>
      <c r="G479" s="1" t="s">
        <v>63</v>
      </c>
      <c r="H479" s="1" t="s">
        <v>115</v>
      </c>
      <c r="I479" s="1" t="s">
        <v>1</v>
      </c>
      <c r="J479" s="1">
        <v>40</v>
      </c>
      <c r="K479" s="1">
        <f>J479*(IF(I479=ProdFam[[#Headers],[Test]],(VLOOKUP(Data[[#This Row],[Product Family]],ProdFam[],3,FALSE)),(VLOOKUP(Data[[#This Row],[Product Family]],ProdFam[],2,FALSE))))</f>
        <v>960</v>
      </c>
      <c r="L479" s="1">
        <v>500</v>
      </c>
      <c r="M479" s="1">
        <v>40</v>
      </c>
      <c r="N479" s="7">
        <f>IFERROR(Data[[#This Row],[Actual Time]]/Data[[#This Row],[QTY Complete]],"")</f>
        <v>12.5</v>
      </c>
      <c r="O479" s="7">
        <f>IF(I479=ProdFam[[#Headers],[Test]],(VLOOKUP(Data[[#This Row],[Product Family]],ProdFam[],3,FALSE)),(VLOOKUP(Data[[#This Row],[Product Family]],ProdFam[],2,FALSE)))</f>
        <v>24</v>
      </c>
    </row>
    <row r="480" spans="2:15" x14ac:dyDescent="0.25">
      <c r="B480" s="1">
        <f>WEEKNUM(Data[[#This Row],[Date]],1)</f>
        <v>46</v>
      </c>
      <c r="C480" s="15">
        <f>YEAR(Data[[#This Row],[Date]])</f>
        <v>2019</v>
      </c>
      <c r="D480" s="5">
        <v>43780</v>
      </c>
      <c r="E480" s="1" t="s">
        <v>111</v>
      </c>
      <c r="F480" s="1">
        <v>28995</v>
      </c>
      <c r="G480" s="1" t="s">
        <v>89</v>
      </c>
      <c r="H480" s="1" t="s">
        <v>115</v>
      </c>
      <c r="I480" s="1" t="s">
        <v>1</v>
      </c>
      <c r="J480" s="1">
        <v>1</v>
      </c>
      <c r="K480" s="1">
        <f>J480*(IF(I480=ProdFam[[#Headers],[Test]],(VLOOKUP(Data[[#This Row],[Product Family]],ProdFam[],3,FALSE)),(VLOOKUP(Data[[#This Row],[Product Family]],ProdFam[],2,FALSE))))</f>
        <v>24</v>
      </c>
      <c r="L480" s="1">
        <v>24</v>
      </c>
      <c r="M480" s="1">
        <v>1</v>
      </c>
      <c r="N480" s="7">
        <f>IFERROR(Data[[#This Row],[Actual Time]]/Data[[#This Row],[QTY Complete]],"")</f>
        <v>24</v>
      </c>
      <c r="O480" s="7">
        <f>IF(I480=ProdFam[[#Headers],[Test]],(VLOOKUP(Data[[#This Row],[Product Family]],ProdFam[],3,FALSE)),(VLOOKUP(Data[[#This Row],[Product Family]],ProdFam[],2,FALSE)))</f>
        <v>24</v>
      </c>
    </row>
    <row r="481" spans="2:15" x14ac:dyDescent="0.25">
      <c r="B481" s="1">
        <f>WEEKNUM(Data[[#This Row],[Date]],1)</f>
        <v>46</v>
      </c>
      <c r="C481" s="15">
        <f>YEAR(Data[[#This Row],[Date]])</f>
        <v>2019</v>
      </c>
      <c r="D481" s="5">
        <v>43780</v>
      </c>
      <c r="E481" s="1" t="s">
        <v>111</v>
      </c>
      <c r="F481" s="1">
        <v>28960</v>
      </c>
      <c r="G481" s="1" t="s">
        <v>15</v>
      </c>
      <c r="H481" s="1" t="s">
        <v>113</v>
      </c>
      <c r="I481" s="1" t="s">
        <v>1</v>
      </c>
      <c r="J481" s="1">
        <v>8</v>
      </c>
      <c r="K481" s="1">
        <f>J481*(IF(I481=ProdFam[[#Headers],[Test]],(VLOOKUP(Data[[#This Row],[Product Family]],ProdFam[],3,FALSE)),(VLOOKUP(Data[[#This Row],[Product Family]],ProdFam[],2,FALSE))))</f>
        <v>256</v>
      </c>
      <c r="L481" s="1">
        <v>120</v>
      </c>
      <c r="M481" s="1">
        <v>8</v>
      </c>
      <c r="N481" s="7">
        <f>IFERROR(Data[[#This Row],[Actual Time]]/Data[[#This Row],[QTY Complete]],"")</f>
        <v>15</v>
      </c>
      <c r="O481" s="7">
        <f>IF(I481=ProdFam[[#Headers],[Test]],(VLOOKUP(Data[[#This Row],[Product Family]],ProdFam[],3,FALSE)),(VLOOKUP(Data[[#This Row],[Product Family]],ProdFam[],2,FALSE)))</f>
        <v>32</v>
      </c>
    </row>
    <row r="482" spans="2:15" x14ac:dyDescent="0.25">
      <c r="B482" s="1">
        <f>WEEKNUM(Data[[#This Row],[Date]],1)</f>
        <v>46</v>
      </c>
      <c r="C482" s="15">
        <f>YEAR(Data[[#This Row],[Date]])</f>
        <v>2019</v>
      </c>
      <c r="D482" s="5">
        <v>43780</v>
      </c>
      <c r="E482" s="1" t="s">
        <v>111</v>
      </c>
      <c r="F482" s="1">
        <v>28970</v>
      </c>
      <c r="G482" s="1" t="s">
        <v>28</v>
      </c>
      <c r="H482" s="1" t="s">
        <v>113</v>
      </c>
      <c r="I482" s="1" t="s">
        <v>1</v>
      </c>
      <c r="J482" s="1">
        <v>8</v>
      </c>
      <c r="K482" s="1">
        <f>J482*(IF(I482=ProdFam[[#Headers],[Test]],(VLOOKUP(Data[[#This Row],[Product Family]],ProdFam[],3,FALSE)),(VLOOKUP(Data[[#This Row],[Product Family]],ProdFam[],2,FALSE))))</f>
        <v>256</v>
      </c>
      <c r="L482" s="1">
        <v>210</v>
      </c>
      <c r="M482" s="1">
        <v>7</v>
      </c>
      <c r="N482" s="7">
        <f>IFERROR(Data[[#This Row],[Actual Time]]/Data[[#This Row],[QTY Complete]],"")</f>
        <v>30</v>
      </c>
      <c r="O482" s="7">
        <f>IF(I482=ProdFam[[#Headers],[Test]],(VLOOKUP(Data[[#This Row],[Product Family]],ProdFam[],3,FALSE)),(VLOOKUP(Data[[#This Row],[Product Family]],ProdFam[],2,FALSE)))</f>
        <v>32</v>
      </c>
    </row>
    <row r="483" spans="2:15" x14ac:dyDescent="0.25">
      <c r="B483" s="1">
        <f>WEEKNUM(Data[[#This Row],[Date]],1)</f>
        <v>46</v>
      </c>
      <c r="C483" s="15">
        <f>YEAR(Data[[#This Row],[Date]])</f>
        <v>2019</v>
      </c>
      <c r="D483" s="5">
        <v>43780</v>
      </c>
      <c r="E483" s="1" t="s">
        <v>128</v>
      </c>
      <c r="F483" s="1">
        <v>28984</v>
      </c>
      <c r="G483" s="1" t="s">
        <v>9</v>
      </c>
      <c r="H483" s="1" t="s">
        <v>112</v>
      </c>
      <c r="I483" s="1" t="s">
        <v>0</v>
      </c>
      <c r="J483" s="1">
        <v>12</v>
      </c>
      <c r="K483" s="1">
        <f>J483*(IF(I483=ProdFam[[#Headers],[Test]],(VLOOKUP(Data[[#This Row],[Product Family]],ProdFam[],3,FALSE)),(VLOOKUP(Data[[#This Row],[Product Family]],ProdFam[],2,FALSE))))</f>
        <v>120</v>
      </c>
      <c r="L483" s="1">
        <v>440</v>
      </c>
      <c r="M483" s="1">
        <v>12</v>
      </c>
      <c r="N483" s="7">
        <f>IFERROR(Data[[#This Row],[Actual Time]]/Data[[#This Row],[QTY Complete]],"")</f>
        <v>36.666666666666664</v>
      </c>
      <c r="O483" s="7">
        <f>IF(I483=ProdFam[[#Headers],[Test]],(VLOOKUP(Data[[#This Row],[Product Family]],ProdFam[],3,FALSE)),(VLOOKUP(Data[[#This Row],[Product Family]],ProdFam[],2,FALSE)))</f>
        <v>10</v>
      </c>
    </row>
    <row r="484" spans="2:15" x14ac:dyDescent="0.25">
      <c r="B484" s="1">
        <f>WEEKNUM(Data[[#This Row],[Date]],1)</f>
        <v>46</v>
      </c>
      <c r="C484" s="15">
        <f>YEAR(Data[[#This Row],[Date]])</f>
        <v>2019</v>
      </c>
      <c r="D484" s="5">
        <v>43780</v>
      </c>
      <c r="E484" s="1" t="s">
        <v>128</v>
      </c>
      <c r="F484" s="1">
        <v>61736</v>
      </c>
      <c r="G484" s="1" t="s">
        <v>25</v>
      </c>
      <c r="H484" s="1" t="s">
        <v>162</v>
      </c>
      <c r="I484" s="1" t="s">
        <v>0</v>
      </c>
      <c r="J484" s="1">
        <v>10</v>
      </c>
      <c r="K484" s="1">
        <f>J484*(IF(I484=ProdFam[[#Headers],[Test]],(VLOOKUP(Data[[#This Row],[Product Family]],ProdFam[],3,FALSE)),(VLOOKUP(Data[[#This Row],[Product Family]],ProdFam[],2,FALSE))))</f>
        <v>100</v>
      </c>
      <c r="L484" s="1">
        <v>25</v>
      </c>
      <c r="M484" s="1">
        <v>2</v>
      </c>
      <c r="N484" s="7">
        <f>IFERROR(Data[[#This Row],[Actual Time]]/Data[[#This Row],[QTY Complete]],"")</f>
        <v>12.5</v>
      </c>
      <c r="O484" s="7">
        <f>IF(I484=ProdFam[[#Headers],[Test]],(VLOOKUP(Data[[#This Row],[Product Family]],ProdFam[],3,FALSE)),(VLOOKUP(Data[[#This Row],[Product Family]],ProdFam[],2,FALSE)))</f>
        <v>10</v>
      </c>
    </row>
    <row r="485" spans="2:15" x14ac:dyDescent="0.25">
      <c r="B485" s="1">
        <f>WEEKNUM(Data[[#This Row],[Date]],1)</f>
        <v>46</v>
      </c>
      <c r="C485" s="15">
        <f>YEAR(Data[[#This Row],[Date]])</f>
        <v>2019</v>
      </c>
      <c r="D485" s="5">
        <v>43780</v>
      </c>
      <c r="E485" s="1" t="s">
        <v>117</v>
      </c>
      <c r="F485" s="1">
        <v>29126</v>
      </c>
      <c r="G485" s="1" t="s">
        <v>90</v>
      </c>
      <c r="H485" s="1" t="s">
        <v>112</v>
      </c>
      <c r="I485" s="1" t="s">
        <v>1</v>
      </c>
      <c r="J485" s="1">
        <v>6</v>
      </c>
      <c r="K485" s="1">
        <f>J485*(IF(I485=ProdFam[[#Headers],[Test]],(VLOOKUP(Data[[#This Row],[Product Family]],ProdFam[],3,FALSE)),(VLOOKUP(Data[[#This Row],[Product Family]],ProdFam[],2,FALSE))))</f>
        <v>60</v>
      </c>
      <c r="L485" s="1">
        <v>40</v>
      </c>
      <c r="M485" s="1">
        <v>4</v>
      </c>
      <c r="N485" s="7">
        <f>IFERROR(Data[[#This Row],[Actual Time]]/Data[[#This Row],[QTY Complete]],"")</f>
        <v>10</v>
      </c>
      <c r="O485" s="7">
        <f>IF(I485=ProdFam[[#Headers],[Test]],(VLOOKUP(Data[[#This Row],[Product Family]],ProdFam[],3,FALSE)),(VLOOKUP(Data[[#This Row],[Product Family]],ProdFam[],2,FALSE)))</f>
        <v>10</v>
      </c>
    </row>
    <row r="486" spans="2:15" x14ac:dyDescent="0.25">
      <c r="B486" s="1">
        <f>WEEKNUM(Data[[#This Row],[Date]],1)</f>
        <v>46</v>
      </c>
      <c r="C486" s="15">
        <f>YEAR(Data[[#This Row],[Date]])</f>
        <v>2019</v>
      </c>
      <c r="D486" s="5">
        <v>43780</v>
      </c>
      <c r="E486" s="1" t="s">
        <v>117</v>
      </c>
      <c r="F486" s="1">
        <v>28978</v>
      </c>
      <c r="G486" s="1" t="s">
        <v>17</v>
      </c>
      <c r="H486" s="1" t="s">
        <v>113</v>
      </c>
      <c r="I486" s="1" t="s">
        <v>1</v>
      </c>
      <c r="J486" s="1">
        <v>1</v>
      </c>
      <c r="K486" s="1">
        <f>J486*(IF(I486=ProdFam[[#Headers],[Test]],(VLOOKUP(Data[[#This Row],[Product Family]],ProdFam[],3,FALSE)),(VLOOKUP(Data[[#This Row],[Product Family]],ProdFam[],2,FALSE))))</f>
        <v>32</v>
      </c>
      <c r="L486" s="1">
        <v>25</v>
      </c>
      <c r="M486" s="1">
        <v>1</v>
      </c>
      <c r="N486" s="7">
        <f>IFERROR(Data[[#This Row],[Actual Time]]/Data[[#This Row],[QTY Complete]],"")</f>
        <v>25</v>
      </c>
      <c r="O486" s="7">
        <f>IF(I486=ProdFam[[#Headers],[Test]],(VLOOKUP(Data[[#This Row],[Product Family]],ProdFam[],3,FALSE)),(VLOOKUP(Data[[#This Row],[Product Family]],ProdFam[],2,FALSE)))</f>
        <v>32</v>
      </c>
    </row>
    <row r="487" spans="2:15" x14ac:dyDescent="0.25">
      <c r="B487" s="1">
        <f>WEEKNUM(Data[[#This Row],[Date]],1)</f>
        <v>46</v>
      </c>
      <c r="C487" s="15">
        <f>YEAR(Data[[#This Row],[Date]])</f>
        <v>2019</v>
      </c>
      <c r="D487" s="5">
        <v>43780</v>
      </c>
      <c r="E487" s="1" t="s">
        <v>117</v>
      </c>
      <c r="F487" s="1">
        <v>28980</v>
      </c>
      <c r="G487" s="1" t="s">
        <v>26</v>
      </c>
      <c r="H487" s="1" t="s">
        <v>113</v>
      </c>
      <c r="I487" s="1" t="s">
        <v>1</v>
      </c>
      <c r="J487" s="1">
        <v>3</v>
      </c>
      <c r="K487" s="1">
        <f>J487*(IF(I487=ProdFam[[#Headers],[Test]],(VLOOKUP(Data[[#This Row],[Product Family]],ProdFam[],3,FALSE)),(VLOOKUP(Data[[#This Row],[Product Family]],ProdFam[],2,FALSE))))</f>
        <v>96</v>
      </c>
      <c r="L487" s="1">
        <v>37</v>
      </c>
      <c r="M487" s="1">
        <v>2</v>
      </c>
      <c r="N487" s="7">
        <f>IFERROR(Data[[#This Row],[Actual Time]]/Data[[#This Row],[QTY Complete]],"")</f>
        <v>18.5</v>
      </c>
      <c r="O487" s="7">
        <f>IF(I487=ProdFam[[#Headers],[Test]],(VLOOKUP(Data[[#This Row],[Product Family]],ProdFam[],3,FALSE)),(VLOOKUP(Data[[#This Row],[Product Family]],ProdFam[],2,FALSE)))</f>
        <v>32</v>
      </c>
    </row>
    <row r="488" spans="2:15" x14ac:dyDescent="0.25">
      <c r="B488" s="1">
        <f>WEEKNUM(Data[[#This Row],[Date]],1)</f>
        <v>46</v>
      </c>
      <c r="C488" s="15">
        <f>YEAR(Data[[#This Row],[Date]])</f>
        <v>2019</v>
      </c>
      <c r="D488" s="5">
        <v>43780</v>
      </c>
      <c r="E488" s="1" t="s">
        <v>117</v>
      </c>
      <c r="F488" s="1">
        <v>28990</v>
      </c>
      <c r="G488" s="1" t="s">
        <v>4</v>
      </c>
      <c r="H488" s="1" t="s">
        <v>113</v>
      </c>
      <c r="I488" s="1" t="s">
        <v>1</v>
      </c>
      <c r="J488" s="1">
        <v>1</v>
      </c>
      <c r="K488" s="1">
        <f>J488*(IF(I488=ProdFam[[#Headers],[Test]],(VLOOKUP(Data[[#This Row],[Product Family]],ProdFam[],3,FALSE)),(VLOOKUP(Data[[#This Row],[Product Family]],ProdFam[],2,FALSE))))</f>
        <v>32</v>
      </c>
      <c r="L488" s="1">
        <v>21</v>
      </c>
      <c r="M488" s="1">
        <v>1</v>
      </c>
      <c r="N488" s="7">
        <f>IFERROR(Data[[#This Row],[Actual Time]]/Data[[#This Row],[QTY Complete]],"")</f>
        <v>21</v>
      </c>
      <c r="O488" s="7">
        <f>IF(I488=ProdFam[[#Headers],[Test]],(VLOOKUP(Data[[#This Row],[Product Family]],ProdFam[],3,FALSE)),(VLOOKUP(Data[[#This Row],[Product Family]],ProdFam[],2,FALSE)))</f>
        <v>32</v>
      </c>
    </row>
    <row r="489" spans="2:15" x14ac:dyDescent="0.25">
      <c r="B489" s="1">
        <f>WEEKNUM(Data[[#This Row],[Date]],1)</f>
        <v>46</v>
      </c>
      <c r="C489" s="15">
        <f>YEAR(Data[[#This Row],[Date]])</f>
        <v>2019</v>
      </c>
      <c r="D489" s="5">
        <v>43780</v>
      </c>
      <c r="E489" s="1" t="s">
        <v>117</v>
      </c>
      <c r="F489" s="1">
        <v>29073</v>
      </c>
      <c r="G489" s="1" t="s">
        <v>4</v>
      </c>
      <c r="H489" s="1" t="s">
        <v>113</v>
      </c>
      <c r="I489" s="1" t="s">
        <v>1</v>
      </c>
      <c r="J489" s="1">
        <v>1</v>
      </c>
      <c r="K489" s="1">
        <f>J489*(IF(I489=ProdFam[[#Headers],[Test]],(VLOOKUP(Data[[#This Row],[Product Family]],ProdFam[],3,FALSE)),(VLOOKUP(Data[[#This Row],[Product Family]],ProdFam[],2,FALSE))))</f>
        <v>32</v>
      </c>
      <c r="L489" s="1">
        <v>20</v>
      </c>
      <c r="M489" s="1">
        <v>1</v>
      </c>
      <c r="N489" s="7">
        <f>IFERROR(Data[[#This Row],[Actual Time]]/Data[[#This Row],[QTY Complete]],"")</f>
        <v>20</v>
      </c>
      <c r="O489" s="7">
        <f>IF(I489=ProdFam[[#Headers],[Test]],(VLOOKUP(Data[[#This Row],[Product Family]],ProdFam[],3,FALSE)),(VLOOKUP(Data[[#This Row],[Product Family]],ProdFam[],2,FALSE)))</f>
        <v>32</v>
      </c>
    </row>
    <row r="490" spans="2:15" x14ac:dyDescent="0.25">
      <c r="B490" s="1">
        <f>WEEKNUM(Data[[#This Row],[Date]],1)</f>
        <v>46</v>
      </c>
      <c r="C490" s="15">
        <f>YEAR(Data[[#This Row],[Date]])</f>
        <v>2019</v>
      </c>
      <c r="D490" s="5">
        <v>43780</v>
      </c>
      <c r="E490" s="1" t="s">
        <v>117</v>
      </c>
      <c r="F490" s="1">
        <v>28976</v>
      </c>
      <c r="G490" s="1" t="s">
        <v>11</v>
      </c>
      <c r="H490" s="1" t="s">
        <v>113</v>
      </c>
      <c r="I490" s="1" t="s">
        <v>1</v>
      </c>
      <c r="J490" s="1">
        <v>3</v>
      </c>
      <c r="K490" s="1">
        <f>J490*(IF(I490=ProdFam[[#Headers],[Test]],(VLOOKUP(Data[[#This Row],[Product Family]],ProdFam[],3,FALSE)),(VLOOKUP(Data[[#This Row],[Product Family]],ProdFam[],2,FALSE))))</f>
        <v>96</v>
      </c>
      <c r="L490" s="1">
        <v>40</v>
      </c>
      <c r="M490" s="1">
        <v>0</v>
      </c>
      <c r="N490" s="7" t="str">
        <f>IFERROR(Data[[#This Row],[Actual Time]]/Data[[#This Row],[QTY Complete]],"")</f>
        <v/>
      </c>
      <c r="O490" s="7">
        <f>IF(I490=ProdFam[[#Headers],[Test]],(VLOOKUP(Data[[#This Row],[Product Family]],ProdFam[],3,FALSE)),(VLOOKUP(Data[[#This Row],[Product Family]],ProdFam[],2,FALSE)))</f>
        <v>32</v>
      </c>
    </row>
    <row r="491" spans="2:15" x14ac:dyDescent="0.25">
      <c r="B491" s="1">
        <f>WEEKNUM(Data[[#This Row],[Date]],1)</f>
        <v>46</v>
      </c>
      <c r="C491" s="15">
        <f>YEAR(Data[[#This Row],[Date]])</f>
        <v>2019</v>
      </c>
      <c r="D491" s="5">
        <v>43780</v>
      </c>
      <c r="E491" s="1" t="s">
        <v>117</v>
      </c>
      <c r="F491" s="1">
        <v>29123</v>
      </c>
      <c r="G491" s="1" t="s">
        <v>50</v>
      </c>
      <c r="H491" s="1" t="s">
        <v>113</v>
      </c>
      <c r="I491" s="1" t="s">
        <v>1</v>
      </c>
      <c r="J491" s="1">
        <v>10</v>
      </c>
      <c r="K491" s="1">
        <f>J491*(IF(I491=ProdFam[[#Headers],[Test]],(VLOOKUP(Data[[#This Row],[Product Family]],ProdFam[],3,FALSE)),(VLOOKUP(Data[[#This Row],[Product Family]],ProdFam[],2,FALSE))))</f>
        <v>320</v>
      </c>
      <c r="L491" s="1">
        <v>15</v>
      </c>
      <c r="M491" s="1">
        <v>0</v>
      </c>
      <c r="N491" s="7" t="str">
        <f>IFERROR(Data[[#This Row],[Actual Time]]/Data[[#This Row],[QTY Complete]],"")</f>
        <v/>
      </c>
      <c r="O491" s="7">
        <f>IF(I491=ProdFam[[#Headers],[Test]],(VLOOKUP(Data[[#This Row],[Product Family]],ProdFam[],3,FALSE)),(VLOOKUP(Data[[#This Row],[Product Family]],ProdFam[],2,FALSE)))</f>
        <v>32</v>
      </c>
    </row>
    <row r="492" spans="2:15" x14ac:dyDescent="0.25">
      <c r="B492" s="1">
        <f>WEEKNUM(Data[[#This Row],[Date]],1)</f>
        <v>46</v>
      </c>
      <c r="C492" s="15">
        <f>YEAR(Data[[#This Row],[Date]])</f>
        <v>2019</v>
      </c>
      <c r="D492" s="5">
        <v>43780</v>
      </c>
      <c r="E492" s="1" t="s">
        <v>122</v>
      </c>
      <c r="F492" s="1">
        <v>28970</v>
      </c>
      <c r="G492" s="1" t="s">
        <v>28</v>
      </c>
      <c r="H492" s="1" t="s">
        <v>113</v>
      </c>
      <c r="I492" s="1" t="s">
        <v>0</v>
      </c>
      <c r="J492" s="1">
        <v>8</v>
      </c>
      <c r="K492" s="1">
        <f>J492*(IF(I492=ProdFam[[#Headers],[Test]],(VLOOKUP(Data[[#This Row],[Product Family]],ProdFam[],3,FALSE)),(VLOOKUP(Data[[#This Row],[Product Family]],ProdFam[],2,FALSE))))</f>
        <v>376</v>
      </c>
      <c r="L492" s="1">
        <v>180</v>
      </c>
      <c r="M492" s="1">
        <v>8</v>
      </c>
      <c r="N492" s="7">
        <f>IFERROR(Data[[#This Row],[Actual Time]]/Data[[#This Row],[QTY Complete]],"")</f>
        <v>22.5</v>
      </c>
      <c r="O492" s="7">
        <f>IF(I492=ProdFam[[#Headers],[Test]],(VLOOKUP(Data[[#This Row],[Product Family]],ProdFam[],3,FALSE)),(VLOOKUP(Data[[#This Row],[Product Family]],ProdFam[],2,FALSE)))</f>
        <v>47</v>
      </c>
    </row>
    <row r="493" spans="2:15" x14ac:dyDescent="0.25">
      <c r="B493" s="1">
        <f>WEEKNUM(Data[[#This Row],[Date]],1)</f>
        <v>46</v>
      </c>
      <c r="C493" s="15">
        <f>YEAR(Data[[#This Row],[Date]])</f>
        <v>2019</v>
      </c>
      <c r="D493" s="5">
        <v>43780</v>
      </c>
      <c r="E493" s="1" t="s">
        <v>122</v>
      </c>
      <c r="F493" s="1">
        <v>29123</v>
      </c>
      <c r="G493" s="1" t="s">
        <v>50</v>
      </c>
      <c r="H493" s="1" t="s">
        <v>113</v>
      </c>
      <c r="I493" s="1" t="s">
        <v>0</v>
      </c>
      <c r="J493" s="1">
        <v>10</v>
      </c>
      <c r="K493" s="1">
        <f>J493*(IF(I493=ProdFam[[#Headers],[Test]],(VLOOKUP(Data[[#This Row],[Product Family]],ProdFam[],3,FALSE)),(VLOOKUP(Data[[#This Row],[Product Family]],ProdFam[],2,FALSE))))</f>
        <v>470</v>
      </c>
      <c r="L493" s="1">
        <v>390</v>
      </c>
      <c r="M493" s="1">
        <v>0</v>
      </c>
      <c r="N493" s="7" t="str">
        <f>IFERROR(Data[[#This Row],[Actual Time]]/Data[[#This Row],[QTY Complete]],"")</f>
        <v/>
      </c>
      <c r="O493" s="7">
        <f>IF(I493=ProdFam[[#Headers],[Test]],(VLOOKUP(Data[[#This Row],[Product Family]],ProdFam[],3,FALSE)),(VLOOKUP(Data[[#This Row],[Product Family]],ProdFam[],2,FALSE)))</f>
        <v>47</v>
      </c>
    </row>
    <row r="494" spans="2:15" x14ac:dyDescent="0.25">
      <c r="B494" s="1">
        <f>WEEKNUM(Data[[#This Row],[Date]],1)</f>
        <v>46</v>
      </c>
      <c r="C494" s="15">
        <f>YEAR(Data[[#This Row],[Date]])</f>
        <v>2019</v>
      </c>
      <c r="D494" s="5">
        <v>43780</v>
      </c>
      <c r="E494" s="1" t="s">
        <v>118</v>
      </c>
      <c r="F494" s="1">
        <v>28978</v>
      </c>
      <c r="G494" s="1" t="s">
        <v>17</v>
      </c>
      <c r="H494" s="1" t="s">
        <v>113</v>
      </c>
      <c r="I494" s="1" t="s">
        <v>0</v>
      </c>
      <c r="J494" s="1">
        <v>1</v>
      </c>
      <c r="K494" s="1">
        <f>J494*(IF(I494=ProdFam[[#Headers],[Test]],(VLOOKUP(Data[[#This Row],[Product Family]],ProdFam[],3,FALSE)),(VLOOKUP(Data[[#This Row],[Product Family]],ProdFam[],2,FALSE))))</f>
        <v>47</v>
      </c>
      <c r="L494" s="1">
        <v>40</v>
      </c>
      <c r="M494" s="1">
        <v>1</v>
      </c>
      <c r="N494" s="7">
        <f>IFERROR(Data[[#This Row],[Actual Time]]/Data[[#This Row],[QTY Complete]],"")</f>
        <v>40</v>
      </c>
      <c r="O494" s="7">
        <f>IF(I494=ProdFam[[#Headers],[Test]],(VLOOKUP(Data[[#This Row],[Product Family]],ProdFam[],3,FALSE)),(VLOOKUP(Data[[#This Row],[Product Family]],ProdFam[],2,FALSE)))</f>
        <v>47</v>
      </c>
    </row>
    <row r="495" spans="2:15" x14ac:dyDescent="0.25">
      <c r="B495" s="1">
        <f>WEEKNUM(Data[[#This Row],[Date]],1)</f>
        <v>46</v>
      </c>
      <c r="C495" s="15">
        <f>YEAR(Data[[#This Row],[Date]])</f>
        <v>2019</v>
      </c>
      <c r="D495" s="5">
        <v>43780</v>
      </c>
      <c r="E495" s="1" t="s">
        <v>118</v>
      </c>
      <c r="F495" s="1">
        <v>29073</v>
      </c>
      <c r="G495" s="1" t="s">
        <v>4</v>
      </c>
      <c r="H495" s="1" t="s">
        <v>113</v>
      </c>
      <c r="I495" s="1" t="s">
        <v>0</v>
      </c>
      <c r="J495" s="1">
        <v>1</v>
      </c>
      <c r="K495" s="1">
        <f>J495*(IF(I495=ProdFam[[#Headers],[Test]],(VLOOKUP(Data[[#This Row],[Product Family]],ProdFam[],3,FALSE)),(VLOOKUP(Data[[#This Row],[Product Family]],ProdFam[],2,FALSE))))</f>
        <v>47</v>
      </c>
      <c r="L495" s="1">
        <v>68</v>
      </c>
      <c r="M495" s="1">
        <v>1</v>
      </c>
      <c r="N495" s="7">
        <f>IFERROR(Data[[#This Row],[Actual Time]]/Data[[#This Row],[QTY Complete]],"")</f>
        <v>68</v>
      </c>
      <c r="O495" s="7">
        <f>IF(I495=ProdFam[[#Headers],[Test]],(VLOOKUP(Data[[#This Row],[Product Family]],ProdFam[],3,FALSE)),(VLOOKUP(Data[[#This Row],[Product Family]],ProdFam[],2,FALSE)))</f>
        <v>47</v>
      </c>
    </row>
    <row r="496" spans="2:15" x14ac:dyDescent="0.25">
      <c r="B496" s="1">
        <f>WEEKNUM(Data[[#This Row],[Date]],1)</f>
        <v>46</v>
      </c>
      <c r="C496" s="15">
        <f>YEAR(Data[[#This Row],[Date]])</f>
        <v>2019</v>
      </c>
      <c r="D496" s="5">
        <v>43780</v>
      </c>
      <c r="E496" s="1" t="s">
        <v>118</v>
      </c>
      <c r="F496" s="1">
        <v>28990</v>
      </c>
      <c r="G496" s="1" t="s">
        <v>4</v>
      </c>
      <c r="H496" s="1" t="s">
        <v>113</v>
      </c>
      <c r="I496" s="1" t="s">
        <v>0</v>
      </c>
      <c r="J496" s="1">
        <v>1</v>
      </c>
      <c r="K496" s="1">
        <f>J496*(IF(I496=ProdFam[[#Headers],[Test]],(VLOOKUP(Data[[#This Row],[Product Family]],ProdFam[],3,FALSE)),(VLOOKUP(Data[[#This Row],[Product Family]],ProdFam[],2,FALSE))))</f>
        <v>47</v>
      </c>
      <c r="L496" s="1">
        <v>68</v>
      </c>
      <c r="M496" s="1">
        <v>1</v>
      </c>
      <c r="N496" s="7">
        <f>IFERROR(Data[[#This Row],[Actual Time]]/Data[[#This Row],[QTY Complete]],"")</f>
        <v>68</v>
      </c>
      <c r="O496" s="7">
        <f>IF(I496=ProdFam[[#Headers],[Test]],(VLOOKUP(Data[[#This Row],[Product Family]],ProdFam[],3,FALSE)),(VLOOKUP(Data[[#This Row],[Product Family]],ProdFam[],2,FALSE)))</f>
        <v>47</v>
      </c>
    </row>
    <row r="497" spans="2:15" x14ac:dyDescent="0.25">
      <c r="B497" s="1">
        <f>WEEKNUM(Data[[#This Row],[Date]],1)</f>
        <v>46</v>
      </c>
      <c r="C497" s="15">
        <f>YEAR(Data[[#This Row],[Date]])</f>
        <v>2019</v>
      </c>
      <c r="D497" s="5">
        <v>43780</v>
      </c>
      <c r="E497" s="1" t="s">
        <v>118</v>
      </c>
      <c r="F497" s="1">
        <v>29122</v>
      </c>
      <c r="G497" s="1" t="s">
        <v>91</v>
      </c>
      <c r="H497" s="1" t="s">
        <v>113</v>
      </c>
      <c r="I497" s="1" t="s">
        <v>0</v>
      </c>
      <c r="J497" s="1">
        <v>6</v>
      </c>
      <c r="K497" s="1">
        <f>J497*(IF(I497=ProdFam[[#Headers],[Test]],(VLOOKUP(Data[[#This Row],[Product Family]],ProdFam[],3,FALSE)),(VLOOKUP(Data[[#This Row],[Product Family]],ProdFam[],2,FALSE))))</f>
        <v>282</v>
      </c>
      <c r="L497" s="1">
        <v>270</v>
      </c>
      <c r="M497" s="1">
        <v>0</v>
      </c>
      <c r="N497" s="7" t="str">
        <f>IFERROR(Data[[#This Row],[Actual Time]]/Data[[#This Row],[QTY Complete]],"")</f>
        <v/>
      </c>
      <c r="O497" s="7">
        <f>IF(I497=ProdFam[[#Headers],[Test]],(VLOOKUP(Data[[#This Row],[Product Family]],ProdFam[],3,FALSE)),(VLOOKUP(Data[[#This Row],[Product Family]],ProdFam[],2,FALSE)))</f>
        <v>47</v>
      </c>
    </row>
    <row r="498" spans="2:15" x14ac:dyDescent="0.25">
      <c r="B498" s="1">
        <f>WEEKNUM(Data[[#This Row],[Date]],1)</f>
        <v>46</v>
      </c>
      <c r="C498" s="15">
        <f>YEAR(Data[[#This Row],[Date]])</f>
        <v>2019</v>
      </c>
      <c r="D498" s="5">
        <v>43781</v>
      </c>
      <c r="E498" s="1" t="s">
        <v>118</v>
      </c>
      <c r="F498" s="1">
        <v>29122</v>
      </c>
      <c r="G498" s="1" t="s">
        <v>91</v>
      </c>
      <c r="H498" s="1" t="s">
        <v>113</v>
      </c>
      <c r="I498" s="1" t="s">
        <v>0</v>
      </c>
      <c r="J498" s="1">
        <v>6</v>
      </c>
      <c r="K498" s="1">
        <f>J498*(IF(I498=ProdFam[[#Headers],[Test]],(VLOOKUP(Data[[#This Row],[Product Family]],ProdFam[],3,FALSE)),(VLOOKUP(Data[[#This Row],[Product Family]],ProdFam[],2,FALSE))))</f>
        <v>282</v>
      </c>
      <c r="L498" s="1">
        <v>135</v>
      </c>
      <c r="M498" s="1">
        <v>6</v>
      </c>
      <c r="N498" s="7">
        <f>IFERROR(Data[[#This Row],[Actual Time]]/Data[[#This Row],[QTY Complete]],"")</f>
        <v>22.5</v>
      </c>
      <c r="O498" s="7">
        <f>IF(I498=ProdFam[[#Headers],[Test]],(VLOOKUP(Data[[#This Row],[Product Family]],ProdFam[],3,FALSE)),(VLOOKUP(Data[[#This Row],[Product Family]],ProdFam[],2,FALSE)))</f>
        <v>47</v>
      </c>
    </row>
    <row r="499" spans="2:15" x14ac:dyDescent="0.25">
      <c r="B499" s="1">
        <f>WEEKNUM(Data[[#This Row],[Date]],1)</f>
        <v>46</v>
      </c>
      <c r="C499" s="15">
        <f>YEAR(Data[[#This Row],[Date]])</f>
        <v>2019</v>
      </c>
      <c r="D499" s="5">
        <v>43781</v>
      </c>
      <c r="E499" s="1" t="s">
        <v>118</v>
      </c>
      <c r="F499" s="1">
        <v>28979</v>
      </c>
      <c r="G499" s="1" t="s">
        <v>13</v>
      </c>
      <c r="H499" s="1" t="s">
        <v>113</v>
      </c>
      <c r="I499" s="1" t="s">
        <v>0</v>
      </c>
      <c r="J499" s="1">
        <v>4</v>
      </c>
      <c r="K499" s="1">
        <f>J499*(IF(I499=ProdFam[[#Headers],[Test]],(VLOOKUP(Data[[#This Row],[Product Family]],ProdFam[],3,FALSE)),(VLOOKUP(Data[[#This Row],[Product Family]],ProdFam[],2,FALSE))))</f>
        <v>188</v>
      </c>
      <c r="L499" s="1">
        <v>170</v>
      </c>
      <c r="M499" s="1">
        <v>4</v>
      </c>
      <c r="N499" s="7">
        <f>IFERROR(Data[[#This Row],[Actual Time]]/Data[[#This Row],[QTY Complete]],"")</f>
        <v>42.5</v>
      </c>
      <c r="O499" s="7">
        <f>IF(I499=ProdFam[[#Headers],[Test]],(VLOOKUP(Data[[#This Row],[Product Family]],ProdFam[],3,FALSE)),(VLOOKUP(Data[[#This Row],[Product Family]],ProdFam[],2,FALSE)))</f>
        <v>47</v>
      </c>
    </row>
    <row r="500" spans="2:15" x14ac:dyDescent="0.25">
      <c r="B500" s="1">
        <f>WEEKNUM(Data[[#This Row],[Date]],1)</f>
        <v>46</v>
      </c>
      <c r="C500" s="15">
        <f>YEAR(Data[[#This Row],[Date]])</f>
        <v>2019</v>
      </c>
      <c r="D500" s="5">
        <v>43781</v>
      </c>
      <c r="E500" s="1" t="s">
        <v>118</v>
      </c>
      <c r="F500" s="1">
        <v>29128</v>
      </c>
      <c r="G500" s="1" t="s">
        <v>60</v>
      </c>
      <c r="H500" s="1" t="s">
        <v>113</v>
      </c>
      <c r="I500" s="1" t="s">
        <v>0</v>
      </c>
      <c r="J500" s="1">
        <v>6</v>
      </c>
      <c r="K500" s="1">
        <f>J500*(IF(I500=ProdFam[[#Headers],[Test]],(VLOOKUP(Data[[#This Row],[Product Family]],ProdFam[],3,FALSE)),(VLOOKUP(Data[[#This Row],[Product Family]],ProdFam[],2,FALSE))))</f>
        <v>282</v>
      </c>
      <c r="L500" s="1">
        <v>140</v>
      </c>
      <c r="M500" s="1">
        <v>0</v>
      </c>
      <c r="N500" s="7" t="str">
        <f>IFERROR(Data[[#This Row],[Actual Time]]/Data[[#This Row],[QTY Complete]],"")</f>
        <v/>
      </c>
      <c r="O500" s="7">
        <f>IF(I500=ProdFam[[#Headers],[Test]],(VLOOKUP(Data[[#This Row],[Product Family]],ProdFam[],3,FALSE)),(VLOOKUP(Data[[#This Row],[Product Family]],ProdFam[],2,FALSE)))</f>
        <v>47</v>
      </c>
    </row>
    <row r="501" spans="2:15" x14ac:dyDescent="0.25">
      <c r="B501" s="1">
        <f>WEEKNUM(Data[[#This Row],[Date]],1)</f>
        <v>46</v>
      </c>
      <c r="C501" s="15">
        <f>YEAR(Data[[#This Row],[Date]])</f>
        <v>2019</v>
      </c>
      <c r="D501" s="5">
        <v>43781</v>
      </c>
      <c r="E501" s="1" t="s">
        <v>111</v>
      </c>
      <c r="F501" s="1">
        <v>28984</v>
      </c>
      <c r="G501" s="1" t="s">
        <v>9</v>
      </c>
      <c r="H501" s="1" t="s">
        <v>112</v>
      </c>
      <c r="I501" s="1" t="s">
        <v>0</v>
      </c>
      <c r="J501" s="1">
        <v>18</v>
      </c>
      <c r="K501" s="1">
        <f>J501*(IF(I501=ProdFam[[#Headers],[Test]],(VLOOKUP(Data[[#This Row],[Product Family]],ProdFam[],3,FALSE)),(VLOOKUP(Data[[#This Row],[Product Family]],ProdFam[],2,FALSE))))</f>
        <v>180</v>
      </c>
      <c r="L501" s="1">
        <v>240</v>
      </c>
      <c r="M501" s="1">
        <v>18</v>
      </c>
      <c r="N501" s="7">
        <f>IFERROR(Data[[#This Row],[Actual Time]]/Data[[#This Row],[QTY Complete]],"")</f>
        <v>13.333333333333334</v>
      </c>
      <c r="O501" s="7">
        <f>IF(I501=ProdFam[[#Headers],[Test]],(VLOOKUP(Data[[#This Row],[Product Family]],ProdFam[],3,FALSE)),(VLOOKUP(Data[[#This Row],[Product Family]],ProdFam[],2,FALSE)))</f>
        <v>10</v>
      </c>
    </row>
    <row r="502" spans="2:15" x14ac:dyDescent="0.25">
      <c r="B502" s="1">
        <f>WEEKNUM(Data[[#This Row],[Date]],1)</f>
        <v>46</v>
      </c>
      <c r="C502" s="15">
        <f>YEAR(Data[[#This Row],[Date]])</f>
        <v>2019</v>
      </c>
      <c r="D502" s="5">
        <v>43781</v>
      </c>
      <c r="E502" s="1" t="s">
        <v>131</v>
      </c>
      <c r="F502" s="1">
        <v>29198</v>
      </c>
      <c r="G502" s="1" t="s">
        <v>11</v>
      </c>
      <c r="H502" s="1" t="s">
        <v>113</v>
      </c>
      <c r="I502" s="1" t="s">
        <v>0</v>
      </c>
      <c r="J502" s="1">
        <v>8</v>
      </c>
      <c r="K502" s="1">
        <f>J502*(IF(I502=ProdFam[[#Headers],[Test]],(VLOOKUP(Data[[#This Row],[Product Family]],ProdFam[],3,FALSE)),(VLOOKUP(Data[[#This Row],[Product Family]],ProdFam[],2,FALSE))))</f>
        <v>376</v>
      </c>
      <c r="L502" s="1">
        <v>480</v>
      </c>
      <c r="M502" s="1">
        <v>0</v>
      </c>
      <c r="N502" s="7" t="str">
        <f>IFERROR(Data[[#This Row],[Actual Time]]/Data[[#This Row],[QTY Complete]],"")</f>
        <v/>
      </c>
      <c r="O502" s="7">
        <f>IF(I502=ProdFam[[#Headers],[Test]],(VLOOKUP(Data[[#This Row],[Product Family]],ProdFam[],3,FALSE)),(VLOOKUP(Data[[#This Row],[Product Family]],ProdFam[],2,FALSE)))</f>
        <v>47</v>
      </c>
    </row>
    <row r="503" spans="2:15" x14ac:dyDescent="0.25">
      <c r="B503" s="1">
        <f>WEEKNUM(Data[[#This Row],[Date]],1)</f>
        <v>46</v>
      </c>
      <c r="C503" s="15">
        <f>YEAR(Data[[#This Row],[Date]])</f>
        <v>2019</v>
      </c>
      <c r="D503" s="5">
        <v>43781</v>
      </c>
      <c r="E503" s="1" t="s">
        <v>122</v>
      </c>
      <c r="F503" s="1">
        <v>29123</v>
      </c>
      <c r="G503" s="1" t="s">
        <v>50</v>
      </c>
      <c r="H503" s="1" t="s">
        <v>113</v>
      </c>
      <c r="I503" s="1" t="s">
        <v>0</v>
      </c>
      <c r="J503" s="1">
        <v>10</v>
      </c>
      <c r="K503" s="1">
        <f>J503*(IF(I503=ProdFam[[#Headers],[Test]],(VLOOKUP(Data[[#This Row],[Product Family]],ProdFam[],3,FALSE)),(VLOOKUP(Data[[#This Row],[Product Family]],ProdFam[],2,FALSE))))</f>
        <v>470</v>
      </c>
      <c r="L503" s="1">
        <v>60</v>
      </c>
      <c r="M503" s="1">
        <v>10</v>
      </c>
      <c r="N503" s="7">
        <f>IFERROR(Data[[#This Row],[Actual Time]]/Data[[#This Row],[QTY Complete]],"")</f>
        <v>6</v>
      </c>
      <c r="O503" s="7">
        <f>IF(I503=ProdFam[[#Headers],[Test]],(VLOOKUP(Data[[#This Row],[Product Family]],ProdFam[],3,FALSE)),(VLOOKUP(Data[[#This Row],[Product Family]],ProdFam[],2,FALSE)))</f>
        <v>47</v>
      </c>
    </row>
    <row r="504" spans="2:15" x14ac:dyDescent="0.25">
      <c r="B504" s="1">
        <f>WEEKNUM(Data[[#This Row],[Date]],1)</f>
        <v>46</v>
      </c>
      <c r="C504" s="15">
        <f>YEAR(Data[[#This Row],[Date]])</f>
        <v>2019</v>
      </c>
      <c r="D504" s="5">
        <v>43781</v>
      </c>
      <c r="E504" s="1" t="s">
        <v>122</v>
      </c>
      <c r="F504" s="1">
        <v>28992</v>
      </c>
      <c r="G504" s="1" t="s">
        <v>51</v>
      </c>
      <c r="H504" s="1" t="s">
        <v>113</v>
      </c>
      <c r="I504" s="1" t="s">
        <v>0</v>
      </c>
      <c r="J504" s="1">
        <v>3</v>
      </c>
      <c r="K504" s="1">
        <f>J504*(IF(I504=ProdFam[[#Headers],[Test]],(VLOOKUP(Data[[#This Row],[Product Family]],ProdFam[],3,FALSE)),(VLOOKUP(Data[[#This Row],[Product Family]],ProdFam[],2,FALSE))))</f>
        <v>141</v>
      </c>
      <c r="L504" s="1">
        <v>120</v>
      </c>
      <c r="M504" s="1">
        <v>3</v>
      </c>
      <c r="N504" s="7">
        <f>IFERROR(Data[[#This Row],[Actual Time]]/Data[[#This Row],[QTY Complete]],"")</f>
        <v>40</v>
      </c>
      <c r="O504" s="7">
        <f>IF(I504=ProdFam[[#Headers],[Test]],(VLOOKUP(Data[[#This Row],[Product Family]],ProdFam[],3,FALSE)),(VLOOKUP(Data[[#This Row],[Product Family]],ProdFam[],2,FALSE)))</f>
        <v>47</v>
      </c>
    </row>
    <row r="505" spans="2:15" x14ac:dyDescent="0.25">
      <c r="B505" s="1">
        <f>WEEKNUM(Data[[#This Row],[Date]],1)</f>
        <v>46</v>
      </c>
      <c r="C505" s="15">
        <f>YEAR(Data[[#This Row],[Date]])</f>
        <v>2019</v>
      </c>
      <c r="D505" s="5">
        <v>43781</v>
      </c>
      <c r="E505" s="1" t="s">
        <v>122</v>
      </c>
      <c r="F505" s="1">
        <v>29242</v>
      </c>
      <c r="G505" s="1" t="s">
        <v>50</v>
      </c>
      <c r="H505" s="1" t="s">
        <v>113</v>
      </c>
      <c r="I505" s="1" t="s">
        <v>0</v>
      </c>
      <c r="J505" s="1">
        <v>10</v>
      </c>
      <c r="K505" s="1">
        <f>J505*(IF(I505=ProdFam[[#Headers],[Test]],(VLOOKUP(Data[[#This Row],[Product Family]],ProdFam[],3,FALSE)),(VLOOKUP(Data[[#This Row],[Product Family]],ProdFam[],2,FALSE))))</f>
        <v>470</v>
      </c>
      <c r="L505" s="1">
        <v>390</v>
      </c>
      <c r="M505" s="1">
        <v>10</v>
      </c>
      <c r="N505" s="7">
        <f>IFERROR(Data[[#This Row],[Actual Time]]/Data[[#This Row],[QTY Complete]],"")</f>
        <v>39</v>
      </c>
      <c r="O505" s="7">
        <f>IF(I505=ProdFam[[#Headers],[Test]],(VLOOKUP(Data[[#This Row],[Product Family]],ProdFam[],3,FALSE)),(VLOOKUP(Data[[#This Row],[Product Family]],ProdFam[],2,FALSE)))</f>
        <v>47</v>
      </c>
    </row>
    <row r="506" spans="2:15" x14ac:dyDescent="0.25">
      <c r="B506" s="1">
        <f>WEEKNUM(Data[[#This Row],[Date]],1)</f>
        <v>46</v>
      </c>
      <c r="C506" s="15">
        <f>YEAR(Data[[#This Row],[Date]])</f>
        <v>2019</v>
      </c>
      <c r="D506" s="5">
        <v>43781</v>
      </c>
      <c r="E506" s="1" t="s">
        <v>119</v>
      </c>
      <c r="F506" s="1">
        <v>29199</v>
      </c>
      <c r="G506" s="1" t="s">
        <v>63</v>
      </c>
      <c r="H506" s="1" t="s">
        <v>115</v>
      </c>
      <c r="I506" s="1" t="s">
        <v>1</v>
      </c>
      <c r="J506" s="1">
        <v>50</v>
      </c>
      <c r="K506" s="1">
        <f>J506*(IF(I506=ProdFam[[#Headers],[Test]],(VLOOKUP(Data[[#This Row],[Product Family]],ProdFam[],3,FALSE)),(VLOOKUP(Data[[#This Row],[Product Family]],ProdFam[],2,FALSE))))</f>
        <v>1200</v>
      </c>
      <c r="L506" s="1">
        <v>315</v>
      </c>
      <c r="M506" s="1">
        <v>50</v>
      </c>
      <c r="N506" s="7">
        <f>IFERROR(Data[[#This Row],[Actual Time]]/Data[[#This Row],[QTY Complete]],"")</f>
        <v>6.3</v>
      </c>
      <c r="O506" s="7">
        <f>IF(I506=ProdFam[[#Headers],[Test]],(VLOOKUP(Data[[#This Row],[Product Family]],ProdFam[],3,FALSE)),(VLOOKUP(Data[[#This Row],[Product Family]],ProdFam[],2,FALSE)))</f>
        <v>24</v>
      </c>
    </row>
    <row r="507" spans="2:15" x14ac:dyDescent="0.25">
      <c r="B507" s="1">
        <f>WEEKNUM(Data[[#This Row],[Date]],1)</f>
        <v>46</v>
      </c>
      <c r="C507" s="15">
        <f>YEAR(Data[[#This Row],[Date]])</f>
        <v>2019</v>
      </c>
      <c r="D507" s="5">
        <v>43781</v>
      </c>
      <c r="E507" s="1" t="s">
        <v>119</v>
      </c>
      <c r="F507" s="1">
        <v>29170</v>
      </c>
      <c r="G507" s="1" t="s">
        <v>18</v>
      </c>
      <c r="H507" s="1" t="s">
        <v>115</v>
      </c>
      <c r="I507" s="1" t="s">
        <v>1</v>
      </c>
      <c r="J507" s="1">
        <v>16</v>
      </c>
      <c r="K507" s="1">
        <f>J507*(IF(I507=ProdFam[[#Headers],[Test]],(VLOOKUP(Data[[#This Row],[Product Family]],ProdFam[],3,FALSE)),(VLOOKUP(Data[[#This Row],[Product Family]],ProdFam[],2,FALSE))))</f>
        <v>384</v>
      </c>
      <c r="L507" s="1">
        <v>230</v>
      </c>
      <c r="M507" s="1">
        <v>16</v>
      </c>
      <c r="N507" s="7">
        <f>IFERROR(Data[[#This Row],[Actual Time]]/Data[[#This Row],[QTY Complete]],"")</f>
        <v>14.375</v>
      </c>
      <c r="O507" s="7">
        <f>IF(I507=ProdFam[[#Headers],[Test]],(VLOOKUP(Data[[#This Row],[Product Family]],ProdFam[],3,FALSE)),(VLOOKUP(Data[[#This Row],[Product Family]],ProdFam[],2,FALSE)))</f>
        <v>24</v>
      </c>
    </row>
    <row r="508" spans="2:15" x14ac:dyDescent="0.25">
      <c r="B508" s="1">
        <f>WEEKNUM(Data[[#This Row],[Date]],1)</f>
        <v>46</v>
      </c>
      <c r="C508" s="15">
        <f>YEAR(Data[[#This Row],[Date]])</f>
        <v>2019</v>
      </c>
      <c r="D508" s="5">
        <v>43781</v>
      </c>
      <c r="E508" s="1" t="s">
        <v>117</v>
      </c>
      <c r="F508" s="1">
        <v>28976</v>
      </c>
      <c r="G508" s="1" t="s">
        <v>11</v>
      </c>
      <c r="H508" s="1" t="s">
        <v>113</v>
      </c>
      <c r="I508" s="1" t="s">
        <v>1</v>
      </c>
      <c r="J508" s="1">
        <v>3</v>
      </c>
      <c r="K508" s="1">
        <f>J508*(IF(I508=ProdFam[[#Headers],[Test]],(VLOOKUP(Data[[#This Row],[Product Family]],ProdFam[],3,FALSE)),(VLOOKUP(Data[[#This Row],[Product Family]],ProdFam[],2,FALSE))))</f>
        <v>96</v>
      </c>
      <c r="L508" s="1">
        <v>85</v>
      </c>
      <c r="M508" s="1">
        <v>3</v>
      </c>
      <c r="N508" s="7">
        <f>IFERROR(Data[[#This Row],[Actual Time]]/Data[[#This Row],[QTY Complete]],"")</f>
        <v>28.333333333333332</v>
      </c>
      <c r="O508" s="7">
        <f>IF(I508=ProdFam[[#Headers],[Test]],(VLOOKUP(Data[[#This Row],[Product Family]],ProdFam[],3,FALSE)),(VLOOKUP(Data[[#This Row],[Product Family]],ProdFam[],2,FALSE)))</f>
        <v>32</v>
      </c>
    </row>
    <row r="509" spans="2:15" x14ac:dyDescent="0.25">
      <c r="B509" s="1">
        <f>WEEKNUM(Data[[#This Row],[Date]],1)</f>
        <v>46</v>
      </c>
      <c r="C509" s="15">
        <f>YEAR(Data[[#This Row],[Date]])</f>
        <v>2019</v>
      </c>
      <c r="D509" s="5">
        <v>43781</v>
      </c>
      <c r="E509" s="1" t="s">
        <v>117</v>
      </c>
      <c r="F509" s="1">
        <v>29123</v>
      </c>
      <c r="G509" s="1" t="s">
        <v>50</v>
      </c>
      <c r="H509" s="1" t="s">
        <v>113</v>
      </c>
      <c r="I509" s="1" t="s">
        <v>1</v>
      </c>
      <c r="J509" s="1">
        <v>10</v>
      </c>
      <c r="K509" s="1">
        <f>J509*(IF(I509=ProdFam[[#Headers],[Test]],(VLOOKUP(Data[[#This Row],[Product Family]],ProdFam[],3,FALSE)),(VLOOKUP(Data[[#This Row],[Product Family]],ProdFam[],2,FALSE))))</f>
        <v>320</v>
      </c>
      <c r="L509" s="1">
        <v>247</v>
      </c>
      <c r="M509" s="1">
        <v>0</v>
      </c>
      <c r="N509" s="7" t="str">
        <f>IFERROR(Data[[#This Row],[Actual Time]]/Data[[#This Row],[QTY Complete]],"")</f>
        <v/>
      </c>
      <c r="O509" s="7">
        <f>IF(I509=ProdFam[[#Headers],[Test]],(VLOOKUP(Data[[#This Row],[Product Family]],ProdFam[],3,FALSE)),(VLOOKUP(Data[[#This Row],[Product Family]],ProdFam[],2,FALSE)))</f>
        <v>32</v>
      </c>
    </row>
    <row r="510" spans="2:15" x14ac:dyDescent="0.25">
      <c r="B510" s="1">
        <f>WEEKNUM(Data[[#This Row],[Date]],1)</f>
        <v>46</v>
      </c>
      <c r="C510" s="15">
        <f>YEAR(Data[[#This Row],[Date]])</f>
        <v>2019</v>
      </c>
      <c r="D510" s="5">
        <v>43781</v>
      </c>
      <c r="E510" s="1" t="s">
        <v>117</v>
      </c>
      <c r="F510" s="1">
        <v>29195</v>
      </c>
      <c r="G510" s="1" t="s">
        <v>92</v>
      </c>
      <c r="H510" s="1" t="s">
        <v>112</v>
      </c>
      <c r="I510" s="1" t="s">
        <v>1</v>
      </c>
      <c r="J510" s="1">
        <v>3</v>
      </c>
      <c r="K510" s="1">
        <f>J510*(IF(I510=ProdFam[[#Headers],[Test]],(VLOOKUP(Data[[#This Row],[Product Family]],ProdFam[],3,FALSE)),(VLOOKUP(Data[[#This Row],[Product Family]],ProdFam[],2,FALSE))))</f>
        <v>30</v>
      </c>
      <c r="L510" s="1">
        <v>18</v>
      </c>
      <c r="M510" s="1">
        <v>3</v>
      </c>
      <c r="N510" s="7">
        <f>IFERROR(Data[[#This Row],[Actual Time]]/Data[[#This Row],[QTY Complete]],"")</f>
        <v>6</v>
      </c>
      <c r="O510" s="7">
        <f>IF(I510=ProdFam[[#Headers],[Test]],(VLOOKUP(Data[[#This Row],[Product Family]],ProdFam[],3,FALSE)),(VLOOKUP(Data[[#This Row],[Product Family]],ProdFam[],2,FALSE)))</f>
        <v>10</v>
      </c>
    </row>
    <row r="511" spans="2:15" x14ac:dyDescent="0.25">
      <c r="B511" s="1">
        <f>WEEKNUM(Data[[#This Row],[Date]],1)</f>
        <v>46</v>
      </c>
      <c r="C511" s="15">
        <f>YEAR(Data[[#This Row],[Date]])</f>
        <v>2019</v>
      </c>
      <c r="D511" s="5">
        <v>43781</v>
      </c>
      <c r="E511" s="1" t="s">
        <v>117</v>
      </c>
      <c r="F511" s="1">
        <v>29074</v>
      </c>
      <c r="G511" s="1" t="s">
        <v>93</v>
      </c>
      <c r="H511" s="1" t="s">
        <v>112</v>
      </c>
      <c r="I511" s="1" t="s">
        <v>1</v>
      </c>
      <c r="J511" s="1">
        <v>3</v>
      </c>
      <c r="K511" s="1">
        <f>J511*(IF(I511=ProdFam[[#Headers],[Test]],(VLOOKUP(Data[[#This Row],[Product Family]],ProdFam[],3,FALSE)),(VLOOKUP(Data[[#This Row],[Product Family]],ProdFam[],2,FALSE))))</f>
        <v>30</v>
      </c>
      <c r="L511" s="1">
        <v>5</v>
      </c>
      <c r="M511" s="1">
        <v>0</v>
      </c>
      <c r="N511" s="7" t="str">
        <f>IFERROR(Data[[#This Row],[Actual Time]]/Data[[#This Row],[QTY Complete]],"")</f>
        <v/>
      </c>
      <c r="O511" s="7">
        <f>IF(I511=ProdFam[[#Headers],[Test]],(VLOOKUP(Data[[#This Row],[Product Family]],ProdFam[],3,FALSE)),(VLOOKUP(Data[[#This Row],[Product Family]],ProdFam[],2,FALSE)))</f>
        <v>10</v>
      </c>
    </row>
    <row r="512" spans="2:15" x14ac:dyDescent="0.25">
      <c r="B512" s="1">
        <f>WEEKNUM(Data[[#This Row],[Date]],1)</f>
        <v>46</v>
      </c>
      <c r="C512" s="15">
        <f>YEAR(Data[[#This Row],[Date]])</f>
        <v>2019</v>
      </c>
      <c r="D512" s="5">
        <v>43781</v>
      </c>
      <c r="E512" s="1" t="s">
        <v>117</v>
      </c>
      <c r="F512" s="1">
        <v>29122</v>
      </c>
      <c r="G512" s="1" t="s">
        <v>91</v>
      </c>
      <c r="H512" s="1" t="s">
        <v>113</v>
      </c>
      <c r="I512" s="1" t="s">
        <v>1</v>
      </c>
      <c r="J512" s="1">
        <v>6</v>
      </c>
      <c r="K512" s="1">
        <f>J512*(IF(I512=ProdFam[[#Headers],[Test]],(VLOOKUP(Data[[#This Row],[Product Family]],ProdFam[],3,FALSE)),(VLOOKUP(Data[[#This Row],[Product Family]],ProdFam[],2,FALSE))))</f>
        <v>192</v>
      </c>
      <c r="L512" s="1">
        <v>150</v>
      </c>
      <c r="M512" s="1">
        <v>6</v>
      </c>
      <c r="N512" s="7">
        <f>IFERROR(Data[[#This Row],[Actual Time]]/Data[[#This Row],[QTY Complete]],"")</f>
        <v>25</v>
      </c>
      <c r="O512" s="7">
        <f>IF(I512=ProdFam[[#Headers],[Test]],(VLOOKUP(Data[[#This Row],[Product Family]],ProdFam[],3,FALSE)),(VLOOKUP(Data[[#This Row],[Product Family]],ProdFam[],2,FALSE)))</f>
        <v>32</v>
      </c>
    </row>
    <row r="513" spans="2:15" x14ac:dyDescent="0.25">
      <c r="B513" s="1">
        <f>WEEKNUM(Data[[#This Row],[Date]],1)</f>
        <v>46</v>
      </c>
      <c r="C513" s="15">
        <f>YEAR(Data[[#This Row],[Date]])</f>
        <v>2019</v>
      </c>
      <c r="D513" s="5">
        <v>43781</v>
      </c>
      <c r="E513" s="1" t="s">
        <v>117</v>
      </c>
      <c r="F513" s="1">
        <v>28974</v>
      </c>
      <c r="G513" s="1" t="s">
        <v>13</v>
      </c>
      <c r="H513" s="1" t="s">
        <v>113</v>
      </c>
      <c r="I513" s="1" t="s">
        <v>1</v>
      </c>
      <c r="J513" s="1">
        <v>4</v>
      </c>
      <c r="K513" s="1">
        <f>J513*(IF(I513=ProdFam[[#Headers],[Test]],(VLOOKUP(Data[[#This Row],[Product Family]],ProdFam[],3,FALSE)),(VLOOKUP(Data[[#This Row],[Product Family]],ProdFam[],2,FALSE))))</f>
        <v>128</v>
      </c>
      <c r="L513" s="1">
        <v>65</v>
      </c>
      <c r="M513" s="1">
        <v>0</v>
      </c>
      <c r="N513" s="7" t="str">
        <f>IFERROR(Data[[#This Row],[Actual Time]]/Data[[#This Row],[QTY Complete]],"")</f>
        <v/>
      </c>
      <c r="O513" s="7">
        <f>IF(I513=ProdFam[[#Headers],[Test]],(VLOOKUP(Data[[#This Row],[Product Family]],ProdFam[],3,FALSE)),(VLOOKUP(Data[[#This Row],[Product Family]],ProdFam[],2,FALSE)))</f>
        <v>32</v>
      </c>
    </row>
    <row r="514" spans="2:15" x14ac:dyDescent="0.25">
      <c r="B514" s="1">
        <f>WEEKNUM(Data[[#This Row],[Date]],1)</f>
        <v>46</v>
      </c>
      <c r="C514" s="15">
        <f>YEAR(Data[[#This Row],[Date]])</f>
        <v>2019</v>
      </c>
      <c r="D514" s="5">
        <v>43782</v>
      </c>
      <c r="E514" s="1" t="s">
        <v>119</v>
      </c>
      <c r="F514" s="1">
        <v>29199</v>
      </c>
      <c r="G514" s="1" t="s">
        <v>63</v>
      </c>
      <c r="H514" s="1" t="s">
        <v>115</v>
      </c>
      <c r="I514" s="1" t="s">
        <v>0</v>
      </c>
      <c r="J514" s="1">
        <v>50</v>
      </c>
      <c r="K514" s="1">
        <f>J514*(IF(I514=ProdFam[[#Headers],[Test]],(VLOOKUP(Data[[#This Row],[Product Family]],ProdFam[],3,FALSE)),(VLOOKUP(Data[[#This Row],[Product Family]],ProdFam[],2,FALSE))))</f>
        <v>400</v>
      </c>
      <c r="L514" s="1">
        <v>510</v>
      </c>
      <c r="M514" s="1">
        <v>0</v>
      </c>
      <c r="N514" s="7" t="str">
        <f>IFERROR(Data[[#This Row],[Actual Time]]/Data[[#This Row],[QTY Complete]],"")</f>
        <v/>
      </c>
      <c r="O514" s="7">
        <f>IF(I514=ProdFam[[#Headers],[Test]],(VLOOKUP(Data[[#This Row],[Product Family]],ProdFam[],3,FALSE)),(VLOOKUP(Data[[#This Row],[Product Family]],ProdFam[],2,FALSE)))</f>
        <v>8</v>
      </c>
    </row>
    <row r="515" spans="2:15" x14ac:dyDescent="0.25">
      <c r="B515" s="1">
        <f>WEEKNUM(Data[[#This Row],[Date]],1)</f>
        <v>46</v>
      </c>
      <c r="C515" s="15">
        <f>YEAR(Data[[#This Row],[Date]])</f>
        <v>2019</v>
      </c>
      <c r="D515" s="5">
        <v>43782</v>
      </c>
      <c r="E515" s="1" t="s">
        <v>117</v>
      </c>
      <c r="F515" s="1">
        <v>28979</v>
      </c>
      <c r="G515" s="1" t="s">
        <v>13</v>
      </c>
      <c r="H515" s="1" t="s">
        <v>113</v>
      </c>
      <c r="I515" s="1" t="s">
        <v>1</v>
      </c>
      <c r="J515" s="1">
        <v>4</v>
      </c>
      <c r="K515" s="1">
        <f>J515*(IF(I515=ProdFam[[#Headers],[Test]],(VLOOKUP(Data[[#This Row],[Product Family]],ProdFam[],3,FALSE)),(VLOOKUP(Data[[#This Row],[Product Family]],ProdFam[],2,FALSE))))</f>
        <v>128</v>
      </c>
      <c r="L515" s="1">
        <v>100</v>
      </c>
      <c r="M515" s="1">
        <v>4</v>
      </c>
      <c r="N515" s="7">
        <f>IFERROR(Data[[#This Row],[Actual Time]]/Data[[#This Row],[QTY Complete]],"")</f>
        <v>25</v>
      </c>
      <c r="O515" s="7">
        <f>IF(I515=ProdFam[[#Headers],[Test]],(VLOOKUP(Data[[#This Row],[Product Family]],ProdFam[],3,FALSE)),(VLOOKUP(Data[[#This Row],[Product Family]],ProdFam[],2,FALSE)))</f>
        <v>32</v>
      </c>
    </row>
    <row r="516" spans="2:15" x14ac:dyDescent="0.25">
      <c r="B516" s="1">
        <f>WEEKNUM(Data[[#This Row],[Date]],1)</f>
        <v>46</v>
      </c>
      <c r="C516" s="15">
        <f>YEAR(Data[[#This Row],[Date]])</f>
        <v>2019</v>
      </c>
      <c r="D516" s="5">
        <v>43782</v>
      </c>
      <c r="E516" s="1" t="s">
        <v>117</v>
      </c>
      <c r="F516" s="1">
        <v>29129</v>
      </c>
      <c r="G516" s="1" t="s">
        <v>94</v>
      </c>
      <c r="H516" s="1" t="s">
        <v>113</v>
      </c>
      <c r="I516" s="1" t="s">
        <v>1</v>
      </c>
      <c r="J516" s="1">
        <v>1</v>
      </c>
      <c r="K516" s="1">
        <f>J516*(IF(I516=ProdFam[[#Headers],[Test]],(VLOOKUP(Data[[#This Row],[Product Family]],ProdFam[],3,FALSE)),(VLOOKUP(Data[[#This Row],[Product Family]],ProdFam[],2,FALSE))))</f>
        <v>32</v>
      </c>
      <c r="L516" s="1">
        <v>18</v>
      </c>
      <c r="M516" s="1">
        <v>1</v>
      </c>
      <c r="N516" s="7">
        <f>IFERROR(Data[[#This Row],[Actual Time]]/Data[[#This Row],[QTY Complete]],"")</f>
        <v>18</v>
      </c>
      <c r="O516" s="7">
        <f>IF(I516=ProdFam[[#Headers],[Test]],(VLOOKUP(Data[[#This Row],[Product Family]],ProdFam[],3,FALSE)),(VLOOKUP(Data[[#This Row],[Product Family]],ProdFam[],2,FALSE)))</f>
        <v>32</v>
      </c>
    </row>
    <row r="517" spans="2:15" x14ac:dyDescent="0.25">
      <c r="B517" s="1">
        <f>WEEKNUM(Data[[#This Row],[Date]],1)</f>
        <v>46</v>
      </c>
      <c r="C517" s="15">
        <f>YEAR(Data[[#This Row],[Date]])</f>
        <v>2019</v>
      </c>
      <c r="D517" s="5">
        <v>43782</v>
      </c>
      <c r="E517" s="1" t="s">
        <v>117</v>
      </c>
      <c r="F517" s="1">
        <v>29242</v>
      </c>
      <c r="G517" s="1" t="s">
        <v>28</v>
      </c>
      <c r="H517" s="1" t="s">
        <v>113</v>
      </c>
      <c r="I517" s="1" t="s">
        <v>1</v>
      </c>
      <c r="J517" s="1">
        <v>10</v>
      </c>
      <c r="K517" s="1">
        <f>J517*(IF(I517=ProdFam[[#Headers],[Test]],(VLOOKUP(Data[[#This Row],[Product Family]],ProdFam[],3,FALSE)),(VLOOKUP(Data[[#This Row],[Product Family]],ProdFam[],2,FALSE))))</f>
        <v>320</v>
      </c>
      <c r="L517" s="1">
        <v>105</v>
      </c>
      <c r="M517" s="1">
        <v>0</v>
      </c>
      <c r="N517" s="7" t="str">
        <f>IFERROR(Data[[#This Row],[Actual Time]]/Data[[#This Row],[QTY Complete]],"")</f>
        <v/>
      </c>
      <c r="O517" s="7">
        <f>IF(I517=ProdFam[[#Headers],[Test]],(VLOOKUP(Data[[#This Row],[Product Family]],ProdFam[],3,FALSE)),(VLOOKUP(Data[[#This Row],[Product Family]],ProdFam[],2,FALSE)))</f>
        <v>32</v>
      </c>
    </row>
    <row r="518" spans="2:15" x14ac:dyDescent="0.25">
      <c r="B518" s="1">
        <f>WEEKNUM(Data[[#This Row],[Date]],1)</f>
        <v>46</v>
      </c>
      <c r="C518" s="15">
        <f>YEAR(Data[[#This Row],[Date]])</f>
        <v>2019</v>
      </c>
      <c r="D518" s="5">
        <v>43782</v>
      </c>
      <c r="E518" s="1" t="s">
        <v>117</v>
      </c>
      <c r="F518" s="1">
        <v>29124</v>
      </c>
      <c r="G518" s="1" t="s">
        <v>2</v>
      </c>
      <c r="H518" s="1" t="s">
        <v>112</v>
      </c>
      <c r="I518" s="1" t="s">
        <v>1</v>
      </c>
      <c r="J518" s="1">
        <v>12</v>
      </c>
      <c r="K518" s="1">
        <f>J518*(IF(I518=ProdFam[[#Headers],[Test]],(VLOOKUP(Data[[#This Row],[Product Family]],ProdFam[],3,FALSE)),(VLOOKUP(Data[[#This Row],[Product Family]],ProdFam[],2,FALSE))))</f>
        <v>120</v>
      </c>
      <c r="L518" s="1">
        <v>20</v>
      </c>
      <c r="M518" s="1">
        <v>0</v>
      </c>
      <c r="N518" s="7" t="str">
        <f>IFERROR(Data[[#This Row],[Actual Time]]/Data[[#This Row],[QTY Complete]],"")</f>
        <v/>
      </c>
      <c r="O518" s="7">
        <f>IF(I518=ProdFam[[#Headers],[Test]],(VLOOKUP(Data[[#This Row],[Product Family]],ProdFam[],3,FALSE)),(VLOOKUP(Data[[#This Row],[Product Family]],ProdFam[],2,FALSE)))</f>
        <v>10</v>
      </c>
    </row>
    <row r="519" spans="2:15" x14ac:dyDescent="0.25">
      <c r="B519" s="1">
        <f>WEEKNUM(Data[[#This Row],[Date]],1)</f>
        <v>46</v>
      </c>
      <c r="C519" s="15">
        <f>YEAR(Data[[#This Row],[Date]])</f>
        <v>2019</v>
      </c>
      <c r="D519" s="5">
        <v>43782</v>
      </c>
      <c r="E519" s="1" t="s">
        <v>117</v>
      </c>
      <c r="F519" s="1">
        <v>29198</v>
      </c>
      <c r="G519" s="1" t="s">
        <v>11</v>
      </c>
      <c r="H519" s="1" t="s">
        <v>113</v>
      </c>
      <c r="I519" s="1" t="s">
        <v>1</v>
      </c>
      <c r="J519" s="1">
        <v>8</v>
      </c>
      <c r="K519" s="1">
        <f>J519*(IF(I519=ProdFam[[#Headers],[Test]],(VLOOKUP(Data[[#This Row],[Product Family]],ProdFam[],3,FALSE)),(VLOOKUP(Data[[#This Row],[Product Family]],ProdFam[],2,FALSE))))</f>
        <v>256</v>
      </c>
      <c r="L519" s="1">
        <v>5</v>
      </c>
      <c r="M519" s="1">
        <v>0</v>
      </c>
      <c r="N519" s="7" t="str">
        <f>IFERROR(Data[[#This Row],[Actual Time]]/Data[[#This Row],[QTY Complete]],"")</f>
        <v/>
      </c>
      <c r="O519" s="7">
        <f>IF(I519=ProdFam[[#Headers],[Test]],(VLOOKUP(Data[[#This Row],[Product Family]],ProdFam[],3,FALSE)),(VLOOKUP(Data[[#This Row],[Product Family]],ProdFam[],2,FALSE)))</f>
        <v>32</v>
      </c>
    </row>
    <row r="520" spans="2:15" x14ac:dyDescent="0.25">
      <c r="B520" s="1">
        <f>WEEKNUM(Data[[#This Row],[Date]],1)</f>
        <v>46</v>
      </c>
      <c r="C520" s="15">
        <f>YEAR(Data[[#This Row],[Date]])</f>
        <v>2019</v>
      </c>
      <c r="D520" s="5">
        <v>43782</v>
      </c>
      <c r="E520" s="1" t="s">
        <v>118</v>
      </c>
      <c r="F520" s="1">
        <v>29128</v>
      </c>
      <c r="G520" s="1" t="s">
        <v>60</v>
      </c>
      <c r="H520" s="1" t="s">
        <v>113</v>
      </c>
      <c r="I520" s="1" t="s">
        <v>0</v>
      </c>
      <c r="J520" s="1">
        <v>6</v>
      </c>
      <c r="K520" s="1">
        <f>J520*(IF(I520=ProdFam[[#Headers],[Test]],(VLOOKUP(Data[[#This Row],[Product Family]],ProdFam[],3,FALSE)),(VLOOKUP(Data[[#This Row],[Product Family]],ProdFam[],2,FALSE))))</f>
        <v>282</v>
      </c>
      <c r="L520" s="1">
        <v>65</v>
      </c>
      <c r="M520" s="1">
        <v>6</v>
      </c>
      <c r="N520" s="7">
        <f>IFERROR(Data[[#This Row],[Actual Time]]/Data[[#This Row],[QTY Complete]],"")</f>
        <v>10.833333333333334</v>
      </c>
      <c r="O520" s="7">
        <f>IF(I520=ProdFam[[#Headers],[Test]],(VLOOKUP(Data[[#This Row],[Product Family]],ProdFam[],3,FALSE)),(VLOOKUP(Data[[#This Row],[Product Family]],ProdFam[],2,FALSE)))</f>
        <v>47</v>
      </c>
    </row>
    <row r="521" spans="2:15" x14ac:dyDescent="0.25">
      <c r="B521" s="1">
        <f>WEEKNUM(Data[[#This Row],[Date]],1)</f>
        <v>46</v>
      </c>
      <c r="C521" s="15">
        <f>YEAR(Data[[#This Row],[Date]])</f>
        <v>2019</v>
      </c>
      <c r="D521" s="5">
        <v>43782</v>
      </c>
      <c r="E521" s="1" t="s">
        <v>118</v>
      </c>
      <c r="F521" s="1">
        <v>29129</v>
      </c>
      <c r="G521" s="1" t="s">
        <v>94</v>
      </c>
      <c r="H521" s="1" t="s">
        <v>113</v>
      </c>
      <c r="I521" s="1" t="s">
        <v>0</v>
      </c>
      <c r="J521" s="1">
        <v>1</v>
      </c>
      <c r="K521" s="1">
        <f>J521*(IF(I521=ProdFam[[#Headers],[Test]],(VLOOKUP(Data[[#This Row],[Product Family]],ProdFam[],3,FALSE)),(VLOOKUP(Data[[#This Row],[Product Family]],ProdFam[],2,FALSE))))</f>
        <v>47</v>
      </c>
      <c r="L521" s="1">
        <v>42</v>
      </c>
      <c r="M521" s="1">
        <v>1</v>
      </c>
      <c r="N521" s="7">
        <f>IFERROR(Data[[#This Row],[Actual Time]]/Data[[#This Row],[QTY Complete]],"")</f>
        <v>42</v>
      </c>
      <c r="O521" s="7">
        <f>IF(I521=ProdFam[[#Headers],[Test]],(VLOOKUP(Data[[#This Row],[Product Family]],ProdFam[],3,FALSE)),(VLOOKUP(Data[[#This Row],[Product Family]],ProdFam[],2,FALSE)))</f>
        <v>47</v>
      </c>
    </row>
    <row r="522" spans="2:15" x14ac:dyDescent="0.25">
      <c r="B522" s="1">
        <f>WEEKNUM(Data[[#This Row],[Date]],1)</f>
        <v>46</v>
      </c>
      <c r="C522" s="15">
        <f>YEAR(Data[[#This Row],[Date]])</f>
        <v>2019</v>
      </c>
      <c r="D522" s="5">
        <v>43782</v>
      </c>
      <c r="E522" s="1" t="s">
        <v>118</v>
      </c>
      <c r="F522" s="1">
        <v>29252</v>
      </c>
      <c r="G522" s="1" t="s">
        <v>16</v>
      </c>
      <c r="H522" s="1" t="s">
        <v>113</v>
      </c>
      <c r="I522" s="1" t="s">
        <v>0</v>
      </c>
      <c r="J522" s="1">
        <v>10</v>
      </c>
      <c r="K522" s="1">
        <f>J522*(IF(I522=ProdFam[[#Headers],[Test]],(VLOOKUP(Data[[#This Row],[Product Family]],ProdFam[],3,FALSE)),(VLOOKUP(Data[[#This Row],[Product Family]],ProdFam[],2,FALSE))))</f>
        <v>470</v>
      </c>
      <c r="L522" s="1">
        <v>135</v>
      </c>
      <c r="M522" s="1">
        <v>0</v>
      </c>
      <c r="N522" s="7" t="str">
        <f>IFERROR(Data[[#This Row],[Actual Time]]/Data[[#This Row],[QTY Complete]],"")</f>
        <v/>
      </c>
      <c r="O522" s="7">
        <f>IF(I522=ProdFam[[#Headers],[Test]],(VLOOKUP(Data[[#This Row],[Product Family]],ProdFam[],3,FALSE)),(VLOOKUP(Data[[#This Row],[Product Family]],ProdFam[],2,FALSE)))</f>
        <v>47</v>
      </c>
    </row>
    <row r="523" spans="2:15" x14ac:dyDescent="0.25">
      <c r="B523" s="1">
        <f>WEEKNUM(Data[[#This Row],[Date]],1)</f>
        <v>46</v>
      </c>
      <c r="C523" s="15">
        <f>YEAR(Data[[#This Row],[Date]])</f>
        <v>2019</v>
      </c>
      <c r="D523" s="5">
        <v>43782</v>
      </c>
      <c r="E523" s="1" t="s">
        <v>128</v>
      </c>
      <c r="F523" s="1">
        <v>61736</v>
      </c>
      <c r="G523" s="1" t="s">
        <v>25</v>
      </c>
      <c r="H523" s="1" t="s">
        <v>162</v>
      </c>
      <c r="I523" s="1" t="s">
        <v>0</v>
      </c>
      <c r="J523" s="1">
        <v>8</v>
      </c>
      <c r="K523" s="1">
        <f>J523*(IF(I523=ProdFam[[#Headers],[Test]],(VLOOKUP(Data[[#This Row],[Product Family]],ProdFam[],3,FALSE)),(VLOOKUP(Data[[#This Row],[Product Family]],ProdFam[],2,FALSE))))</f>
        <v>80</v>
      </c>
      <c r="L523" s="1">
        <v>80</v>
      </c>
      <c r="M523" s="1">
        <v>8</v>
      </c>
      <c r="N523" s="7">
        <f>IFERROR(Data[[#This Row],[Actual Time]]/Data[[#This Row],[QTY Complete]],"")</f>
        <v>10</v>
      </c>
      <c r="O523" s="7">
        <f>IF(I523=ProdFam[[#Headers],[Test]],(VLOOKUP(Data[[#This Row],[Product Family]],ProdFam[],3,FALSE)),(VLOOKUP(Data[[#This Row],[Product Family]],ProdFam[],2,FALSE)))</f>
        <v>10</v>
      </c>
    </row>
    <row r="524" spans="2:15" x14ac:dyDescent="0.25">
      <c r="B524" s="1">
        <f>WEEKNUM(Data[[#This Row],[Date]],1)</f>
        <v>46</v>
      </c>
      <c r="C524" s="15">
        <f>YEAR(Data[[#This Row],[Date]])</f>
        <v>2019</v>
      </c>
      <c r="D524" s="5">
        <v>43782</v>
      </c>
      <c r="E524" s="1" t="s">
        <v>128</v>
      </c>
      <c r="F524" s="1">
        <v>29159</v>
      </c>
      <c r="G524" s="1" t="s">
        <v>95</v>
      </c>
      <c r="H524" s="1" t="s">
        <v>113</v>
      </c>
      <c r="I524" s="1" t="s">
        <v>0</v>
      </c>
      <c r="J524" s="1">
        <v>4</v>
      </c>
      <c r="K524" s="1">
        <f>J524*(IF(I524=ProdFam[[#Headers],[Test]],(VLOOKUP(Data[[#This Row],[Product Family]],ProdFam[],3,FALSE)),(VLOOKUP(Data[[#This Row],[Product Family]],ProdFam[],2,FALSE))))</f>
        <v>188</v>
      </c>
      <c r="L524" s="1">
        <v>30</v>
      </c>
      <c r="M524" s="1">
        <v>4</v>
      </c>
      <c r="N524" s="7">
        <f>IFERROR(Data[[#This Row],[Actual Time]]/Data[[#This Row],[QTY Complete]],"")</f>
        <v>7.5</v>
      </c>
      <c r="O524" s="7">
        <f>IF(I524=ProdFam[[#Headers],[Test]],(VLOOKUP(Data[[#This Row],[Product Family]],ProdFam[],3,FALSE)),(VLOOKUP(Data[[#This Row],[Product Family]],ProdFam[],2,FALSE)))</f>
        <v>47</v>
      </c>
    </row>
    <row r="525" spans="2:15" x14ac:dyDescent="0.25">
      <c r="B525" s="1">
        <f>WEEKNUM(Data[[#This Row],[Date]],1)</f>
        <v>46</v>
      </c>
      <c r="C525" s="15">
        <f>YEAR(Data[[#This Row],[Date]])</f>
        <v>2019</v>
      </c>
      <c r="D525" s="5">
        <v>43782</v>
      </c>
      <c r="E525" s="1" t="s">
        <v>128</v>
      </c>
      <c r="F525" s="1">
        <v>29171</v>
      </c>
      <c r="G525" s="1" t="s">
        <v>46</v>
      </c>
      <c r="H525" s="1" t="s">
        <v>113</v>
      </c>
      <c r="I525" s="1" t="s">
        <v>0</v>
      </c>
      <c r="J525" s="1">
        <v>1</v>
      </c>
      <c r="K525" s="1">
        <f>J525*(IF(I525=ProdFam[[#Headers],[Test]],(VLOOKUP(Data[[#This Row],[Product Family]],ProdFam[],3,FALSE)),(VLOOKUP(Data[[#This Row],[Product Family]],ProdFam[],2,FALSE))))</f>
        <v>47</v>
      </c>
      <c r="L525" s="1">
        <v>9</v>
      </c>
      <c r="M525" s="1">
        <v>1</v>
      </c>
      <c r="N525" s="7">
        <f>IFERROR(Data[[#This Row],[Actual Time]]/Data[[#This Row],[QTY Complete]],"")</f>
        <v>9</v>
      </c>
      <c r="O525" s="7">
        <f>IF(I525=ProdFam[[#Headers],[Test]],(VLOOKUP(Data[[#This Row],[Product Family]],ProdFam[],3,FALSE)),(VLOOKUP(Data[[#This Row],[Product Family]],ProdFam[],2,FALSE)))</f>
        <v>47</v>
      </c>
    </row>
    <row r="526" spans="2:15" x14ac:dyDescent="0.25">
      <c r="B526" s="1">
        <f>WEEKNUM(Data[[#This Row],[Date]],1)</f>
        <v>46</v>
      </c>
      <c r="C526" s="15">
        <f>YEAR(Data[[#This Row],[Date]])</f>
        <v>2019</v>
      </c>
      <c r="D526" s="5">
        <v>43782</v>
      </c>
      <c r="E526" s="1" t="s">
        <v>128</v>
      </c>
      <c r="F526" s="1">
        <v>62095</v>
      </c>
      <c r="G526" s="1" t="s">
        <v>28</v>
      </c>
      <c r="H526" s="1" t="s">
        <v>162</v>
      </c>
      <c r="I526" s="1" t="s">
        <v>0</v>
      </c>
      <c r="J526" s="1">
        <v>1</v>
      </c>
      <c r="K526" s="1">
        <f>J526*(IF(I526=ProdFam[[#Headers],[Test]],(VLOOKUP(Data[[#This Row],[Product Family]],ProdFam[],3,FALSE)),(VLOOKUP(Data[[#This Row],[Product Family]],ProdFam[],2,FALSE))))</f>
        <v>10</v>
      </c>
      <c r="L526" s="1">
        <v>7</v>
      </c>
      <c r="M526" s="1">
        <v>1</v>
      </c>
      <c r="N526" s="7">
        <f>IFERROR(Data[[#This Row],[Actual Time]]/Data[[#This Row],[QTY Complete]],"")</f>
        <v>7</v>
      </c>
      <c r="O526" s="7">
        <f>IF(I526=ProdFam[[#Headers],[Test]],(VLOOKUP(Data[[#This Row],[Product Family]],ProdFam[],3,FALSE)),(VLOOKUP(Data[[#This Row],[Product Family]],ProdFam[],2,FALSE)))</f>
        <v>10</v>
      </c>
    </row>
    <row r="527" spans="2:15" x14ac:dyDescent="0.25">
      <c r="B527" s="1">
        <f>WEEKNUM(Data[[#This Row],[Date]],1)</f>
        <v>46</v>
      </c>
      <c r="C527" s="15">
        <f>YEAR(Data[[#This Row],[Date]])</f>
        <v>2019</v>
      </c>
      <c r="D527" s="5">
        <v>43782</v>
      </c>
      <c r="E527" s="1" t="s">
        <v>128</v>
      </c>
      <c r="F527" s="1">
        <v>62133</v>
      </c>
      <c r="G527" s="1" t="s">
        <v>28</v>
      </c>
      <c r="H527" s="1" t="s">
        <v>162</v>
      </c>
      <c r="I527" s="1" t="s">
        <v>0</v>
      </c>
      <c r="J527" s="1">
        <v>2</v>
      </c>
      <c r="K527" s="1">
        <f>J527*(IF(I527=ProdFam[[#Headers],[Test]],(VLOOKUP(Data[[#This Row],[Product Family]],ProdFam[],3,FALSE)),(VLOOKUP(Data[[#This Row],[Product Family]],ProdFam[],2,FALSE))))</f>
        <v>20</v>
      </c>
      <c r="L527" s="1">
        <v>10</v>
      </c>
      <c r="M527" s="1">
        <v>2</v>
      </c>
      <c r="N527" s="7">
        <f>IFERROR(Data[[#This Row],[Actual Time]]/Data[[#This Row],[QTY Complete]],"")</f>
        <v>5</v>
      </c>
      <c r="O527" s="7">
        <f>IF(I527=ProdFam[[#Headers],[Test]],(VLOOKUP(Data[[#This Row],[Product Family]],ProdFam[],3,FALSE)),(VLOOKUP(Data[[#This Row],[Product Family]],ProdFam[],2,FALSE)))</f>
        <v>10</v>
      </c>
    </row>
    <row r="528" spans="2:15" x14ac:dyDescent="0.25">
      <c r="B528" s="1">
        <f>WEEKNUM(Data[[#This Row],[Date]],1)</f>
        <v>46</v>
      </c>
      <c r="C528" s="15">
        <f>YEAR(Data[[#This Row],[Date]])</f>
        <v>2019</v>
      </c>
      <c r="D528" s="5">
        <v>43782</v>
      </c>
      <c r="E528" s="1" t="s">
        <v>128</v>
      </c>
      <c r="F528" s="1">
        <v>61948</v>
      </c>
      <c r="G528" s="1" t="s">
        <v>25</v>
      </c>
      <c r="H528" s="1" t="s">
        <v>162</v>
      </c>
      <c r="I528" s="1" t="s">
        <v>0</v>
      </c>
      <c r="J528" s="1">
        <v>1</v>
      </c>
      <c r="K528" s="1">
        <f>J528*(IF(I528=ProdFam[[#Headers],[Test]],(VLOOKUP(Data[[#This Row],[Product Family]],ProdFam[],3,FALSE)),(VLOOKUP(Data[[#This Row],[Product Family]],ProdFam[],2,FALSE))))</f>
        <v>10</v>
      </c>
      <c r="L528" s="1">
        <v>7</v>
      </c>
      <c r="M528" s="1">
        <v>1</v>
      </c>
      <c r="N528" s="7">
        <f>IFERROR(Data[[#This Row],[Actual Time]]/Data[[#This Row],[QTY Complete]],"")</f>
        <v>7</v>
      </c>
      <c r="O528" s="7">
        <f>IF(I528=ProdFam[[#Headers],[Test]],(VLOOKUP(Data[[#This Row],[Product Family]],ProdFam[],3,FALSE)),(VLOOKUP(Data[[#This Row],[Product Family]],ProdFam[],2,FALSE)))</f>
        <v>10</v>
      </c>
    </row>
    <row r="529" spans="2:15" x14ac:dyDescent="0.25">
      <c r="B529" s="1">
        <f>WEEKNUM(Data[[#This Row],[Date]],1)</f>
        <v>46</v>
      </c>
      <c r="C529" s="15">
        <f>YEAR(Data[[#This Row],[Date]])</f>
        <v>2019</v>
      </c>
      <c r="D529" s="5">
        <v>43782</v>
      </c>
      <c r="E529" s="1" t="s">
        <v>128</v>
      </c>
      <c r="F529" s="1">
        <v>61736</v>
      </c>
      <c r="G529" s="1" t="s">
        <v>25</v>
      </c>
      <c r="H529" s="1" t="s">
        <v>162</v>
      </c>
      <c r="I529" s="1" t="s">
        <v>0</v>
      </c>
      <c r="J529" s="1">
        <v>1</v>
      </c>
      <c r="K529" s="1">
        <f>J529*(IF(I529=ProdFam[[#Headers],[Test]],(VLOOKUP(Data[[#This Row],[Product Family]],ProdFam[],3,FALSE)),(VLOOKUP(Data[[#This Row],[Product Family]],ProdFam[],2,FALSE))))</f>
        <v>10</v>
      </c>
      <c r="L529" s="1">
        <v>10</v>
      </c>
      <c r="M529" s="1">
        <v>1</v>
      </c>
      <c r="N529" s="7">
        <f>IFERROR(Data[[#This Row],[Actual Time]]/Data[[#This Row],[QTY Complete]],"")</f>
        <v>10</v>
      </c>
      <c r="O529" s="7">
        <f>IF(I529=ProdFam[[#Headers],[Test]],(VLOOKUP(Data[[#This Row],[Product Family]],ProdFam[],3,FALSE)),(VLOOKUP(Data[[#This Row],[Product Family]],ProdFam[],2,FALSE)))</f>
        <v>10</v>
      </c>
    </row>
    <row r="530" spans="2:15" x14ac:dyDescent="0.25">
      <c r="B530" s="1">
        <f>WEEKNUM(Data[[#This Row],[Date]],1)</f>
        <v>46</v>
      </c>
      <c r="C530" s="15">
        <f>YEAR(Data[[#This Row],[Date]])</f>
        <v>2019</v>
      </c>
      <c r="D530" s="5">
        <v>43782</v>
      </c>
      <c r="E530" s="1" t="s">
        <v>131</v>
      </c>
      <c r="F530" s="1">
        <v>29198</v>
      </c>
      <c r="G530" s="1" t="s">
        <v>11</v>
      </c>
      <c r="H530" s="1" t="s">
        <v>113</v>
      </c>
      <c r="I530" s="1" t="s">
        <v>0</v>
      </c>
      <c r="J530" s="1">
        <v>8</v>
      </c>
      <c r="K530" s="1">
        <f>J530*(IF(I530=ProdFam[[#Headers],[Test]],(VLOOKUP(Data[[#This Row],[Product Family]],ProdFam[],3,FALSE)),(VLOOKUP(Data[[#This Row],[Product Family]],ProdFam[],2,FALSE))))</f>
        <v>376</v>
      </c>
      <c r="L530" s="1">
        <v>270</v>
      </c>
      <c r="M530" s="1">
        <v>8</v>
      </c>
      <c r="N530" s="7">
        <f>IFERROR(Data[[#This Row],[Actual Time]]/Data[[#This Row],[QTY Complete]],"")</f>
        <v>33.75</v>
      </c>
      <c r="O530" s="7">
        <f>IF(I530=ProdFam[[#Headers],[Test]],(VLOOKUP(Data[[#This Row],[Product Family]],ProdFam[],3,FALSE)),(VLOOKUP(Data[[#This Row],[Product Family]],ProdFam[],2,FALSE)))</f>
        <v>47</v>
      </c>
    </row>
    <row r="531" spans="2:15" x14ac:dyDescent="0.25">
      <c r="B531" s="1">
        <f>WEEKNUM(Data[[#This Row],[Date]],1)</f>
        <v>46</v>
      </c>
      <c r="C531" s="15">
        <f>YEAR(Data[[#This Row],[Date]])</f>
        <v>2019</v>
      </c>
      <c r="D531" s="5">
        <v>43782</v>
      </c>
      <c r="E531" s="1" t="s">
        <v>131</v>
      </c>
      <c r="F531" s="1">
        <v>28996</v>
      </c>
      <c r="G531" s="1" t="s">
        <v>16</v>
      </c>
      <c r="H531" s="1" t="s">
        <v>113</v>
      </c>
      <c r="I531" s="1" t="s">
        <v>0</v>
      </c>
      <c r="J531" s="1">
        <v>10</v>
      </c>
      <c r="K531" s="1">
        <f>J531*(IF(I531=ProdFam[[#Headers],[Test]],(VLOOKUP(Data[[#This Row],[Product Family]],ProdFam[],3,FALSE)),(VLOOKUP(Data[[#This Row],[Product Family]],ProdFam[],2,FALSE))))</f>
        <v>470</v>
      </c>
      <c r="L531" s="1">
        <v>175</v>
      </c>
      <c r="M531" s="1">
        <v>0</v>
      </c>
      <c r="N531" s="7" t="str">
        <f>IFERROR(Data[[#This Row],[Actual Time]]/Data[[#This Row],[QTY Complete]],"")</f>
        <v/>
      </c>
      <c r="O531" s="7">
        <f>IF(I531=ProdFam[[#Headers],[Test]],(VLOOKUP(Data[[#This Row],[Product Family]],ProdFam[],3,FALSE)),(VLOOKUP(Data[[#This Row],[Product Family]],ProdFam[],2,FALSE)))</f>
        <v>47</v>
      </c>
    </row>
    <row r="532" spans="2:15" x14ac:dyDescent="0.25">
      <c r="B532" s="1">
        <f>WEEKNUM(Data[[#This Row],[Date]],1)</f>
        <v>46</v>
      </c>
      <c r="C532" s="15">
        <f>YEAR(Data[[#This Row],[Date]])</f>
        <v>2019</v>
      </c>
      <c r="D532" s="5">
        <v>43782</v>
      </c>
      <c r="E532" s="1" t="s">
        <v>122</v>
      </c>
      <c r="F532" s="1">
        <v>29250</v>
      </c>
      <c r="G532" s="1" t="s">
        <v>50</v>
      </c>
      <c r="H532" s="1" t="s">
        <v>113</v>
      </c>
      <c r="I532" s="1" t="s">
        <v>0</v>
      </c>
      <c r="J532" s="1">
        <v>10</v>
      </c>
      <c r="K532" s="1">
        <f>J532*(IF(I532=ProdFam[[#Headers],[Test]],(VLOOKUP(Data[[#This Row],[Product Family]],ProdFam[],3,FALSE)),(VLOOKUP(Data[[#This Row],[Product Family]],ProdFam[],2,FALSE))))</f>
        <v>470</v>
      </c>
      <c r="L532" s="1">
        <v>435</v>
      </c>
      <c r="M532" s="1">
        <v>10</v>
      </c>
      <c r="N532" s="7">
        <f>IFERROR(Data[[#This Row],[Actual Time]]/Data[[#This Row],[QTY Complete]],"")</f>
        <v>43.5</v>
      </c>
      <c r="O532" s="7">
        <f>IF(I532=ProdFam[[#Headers],[Test]],(VLOOKUP(Data[[#This Row],[Product Family]],ProdFam[],3,FALSE)),(VLOOKUP(Data[[#This Row],[Product Family]],ProdFam[],2,FALSE)))</f>
        <v>47</v>
      </c>
    </row>
    <row r="533" spans="2:15" x14ac:dyDescent="0.25">
      <c r="B533" s="1">
        <f>WEEKNUM(Data[[#This Row],[Date]],1)</f>
        <v>46</v>
      </c>
      <c r="C533" s="15">
        <f>YEAR(Data[[#This Row],[Date]])</f>
        <v>2019</v>
      </c>
      <c r="D533" s="5">
        <v>43782</v>
      </c>
      <c r="E533" s="1" t="s">
        <v>122</v>
      </c>
      <c r="F533" s="1">
        <v>29124</v>
      </c>
      <c r="G533" s="1" t="s">
        <v>2</v>
      </c>
      <c r="H533" s="1" t="s">
        <v>112</v>
      </c>
      <c r="I533" s="1" t="s">
        <v>0</v>
      </c>
      <c r="J533" s="1">
        <v>12</v>
      </c>
      <c r="K533" s="1">
        <f>J533*(IF(I533=ProdFam[[#Headers],[Test]],(VLOOKUP(Data[[#This Row],[Product Family]],ProdFam[],3,FALSE)),(VLOOKUP(Data[[#This Row],[Product Family]],ProdFam[],2,FALSE))))</f>
        <v>120</v>
      </c>
      <c r="L533" s="1">
        <v>90</v>
      </c>
      <c r="M533" s="1">
        <v>12</v>
      </c>
      <c r="N533" s="7">
        <f>IFERROR(Data[[#This Row],[Actual Time]]/Data[[#This Row],[QTY Complete]],"")</f>
        <v>7.5</v>
      </c>
      <c r="O533" s="7">
        <f>IF(I533=ProdFam[[#Headers],[Test]],(VLOOKUP(Data[[#This Row],[Product Family]],ProdFam[],3,FALSE)),(VLOOKUP(Data[[#This Row],[Product Family]],ProdFam[],2,FALSE)))</f>
        <v>10</v>
      </c>
    </row>
    <row r="534" spans="2:15" x14ac:dyDescent="0.25">
      <c r="B534" s="1">
        <f>WEEKNUM(Data[[#This Row],[Date]],1)</f>
        <v>46</v>
      </c>
      <c r="C534" s="15">
        <f>YEAR(Data[[#This Row],[Date]])</f>
        <v>2019</v>
      </c>
      <c r="D534" s="5">
        <v>43782</v>
      </c>
      <c r="E534" s="1" t="s">
        <v>122</v>
      </c>
      <c r="F534" s="1">
        <v>29201</v>
      </c>
      <c r="G534" s="1" t="s">
        <v>85</v>
      </c>
      <c r="H534" s="1" t="s">
        <v>123</v>
      </c>
      <c r="I534" s="1" t="s">
        <v>0</v>
      </c>
      <c r="J534" s="1">
        <v>10</v>
      </c>
      <c r="K534" s="1">
        <f>J534*(IF(I534=ProdFam[[#Headers],[Test]],(VLOOKUP(Data[[#This Row],[Product Family]],ProdFam[],3,FALSE)),(VLOOKUP(Data[[#This Row],[Product Family]],ProdFam[],2,FALSE))))</f>
        <v>900</v>
      </c>
      <c r="L534" s="1">
        <v>45</v>
      </c>
      <c r="M534" s="1">
        <v>0</v>
      </c>
      <c r="N534" s="7" t="str">
        <f>IFERROR(Data[[#This Row],[Actual Time]]/Data[[#This Row],[QTY Complete]],"")</f>
        <v/>
      </c>
      <c r="O534" s="7">
        <f>IF(I534=ProdFam[[#Headers],[Test]],(VLOOKUP(Data[[#This Row],[Product Family]],ProdFam[],3,FALSE)),(VLOOKUP(Data[[#This Row],[Product Family]],ProdFam[],2,FALSE)))</f>
        <v>90</v>
      </c>
    </row>
    <row r="535" spans="2:15" x14ac:dyDescent="0.25">
      <c r="B535" s="1">
        <f>WEEKNUM(Data[[#This Row],[Date]],1)</f>
        <v>46</v>
      </c>
      <c r="C535" s="15">
        <f>YEAR(Data[[#This Row],[Date]])</f>
        <v>2019</v>
      </c>
      <c r="D535" s="5">
        <v>43783</v>
      </c>
      <c r="E535" s="1" t="s">
        <v>131</v>
      </c>
      <c r="F535" s="1">
        <v>28996</v>
      </c>
      <c r="G535" s="1" t="s">
        <v>16</v>
      </c>
      <c r="H535" s="1" t="s">
        <v>113</v>
      </c>
      <c r="I535" s="1" t="s">
        <v>0</v>
      </c>
      <c r="J535" s="1">
        <v>10</v>
      </c>
      <c r="K535" s="1">
        <f>J535*(IF(I535=ProdFam[[#Headers],[Test]],(VLOOKUP(Data[[#This Row],[Product Family]],ProdFam[],3,FALSE)),(VLOOKUP(Data[[#This Row],[Product Family]],ProdFam[],2,FALSE))))</f>
        <v>470</v>
      </c>
      <c r="L535" s="1">
        <v>195</v>
      </c>
      <c r="M535" s="1">
        <v>10</v>
      </c>
      <c r="N535" s="7">
        <f>IFERROR(Data[[#This Row],[Actual Time]]/Data[[#This Row],[QTY Complete]],"")</f>
        <v>19.5</v>
      </c>
      <c r="O535" s="7">
        <f>IF(I535=ProdFam[[#Headers],[Test]],(VLOOKUP(Data[[#This Row],[Product Family]],ProdFam[],3,FALSE)),(VLOOKUP(Data[[#This Row],[Product Family]],ProdFam[],2,FALSE)))</f>
        <v>47</v>
      </c>
    </row>
    <row r="536" spans="2:15" x14ac:dyDescent="0.25">
      <c r="B536" s="1">
        <f>WEEKNUM(Data[[#This Row],[Date]],1)</f>
        <v>46</v>
      </c>
      <c r="C536" s="15">
        <f>YEAR(Data[[#This Row],[Date]])</f>
        <v>2019</v>
      </c>
      <c r="D536" s="5">
        <v>43783</v>
      </c>
      <c r="E536" s="1" t="s">
        <v>131</v>
      </c>
      <c r="F536" s="1">
        <v>29251</v>
      </c>
      <c r="G536" s="1" t="s">
        <v>25</v>
      </c>
      <c r="H536" s="1" t="s">
        <v>113</v>
      </c>
      <c r="I536" s="1" t="s">
        <v>0</v>
      </c>
      <c r="J536" s="1">
        <v>10</v>
      </c>
      <c r="K536" s="1">
        <f>J536*(IF(I536=ProdFam[[#Headers],[Test]],(VLOOKUP(Data[[#This Row],[Product Family]],ProdFam[],3,FALSE)),(VLOOKUP(Data[[#This Row],[Product Family]],ProdFam[],2,FALSE))))</f>
        <v>470</v>
      </c>
      <c r="L536" s="1">
        <v>275</v>
      </c>
      <c r="M536" s="1">
        <v>0</v>
      </c>
      <c r="N536" s="7" t="str">
        <f>IFERROR(Data[[#This Row],[Actual Time]]/Data[[#This Row],[QTY Complete]],"")</f>
        <v/>
      </c>
      <c r="O536" s="7">
        <f>IF(I536=ProdFam[[#Headers],[Test]],(VLOOKUP(Data[[#This Row],[Product Family]],ProdFam[],3,FALSE)),(VLOOKUP(Data[[#This Row],[Product Family]],ProdFam[],2,FALSE)))</f>
        <v>47</v>
      </c>
    </row>
    <row r="537" spans="2:15" x14ac:dyDescent="0.25">
      <c r="B537" s="1">
        <f>WEEKNUM(Data[[#This Row],[Date]],1)</f>
        <v>46</v>
      </c>
      <c r="C537" s="15">
        <f>YEAR(Data[[#This Row],[Date]])</f>
        <v>2019</v>
      </c>
      <c r="D537" s="5">
        <v>43783</v>
      </c>
      <c r="E537" s="1" t="s">
        <v>119</v>
      </c>
      <c r="F537" s="1">
        <v>29199</v>
      </c>
      <c r="G537" s="1" t="s">
        <v>63</v>
      </c>
      <c r="H537" s="1" t="s">
        <v>115</v>
      </c>
      <c r="I537" s="1" t="s">
        <v>1</v>
      </c>
      <c r="J537" s="1">
        <v>50</v>
      </c>
      <c r="K537" s="1">
        <f>J537*(IF(I537=ProdFam[[#Headers],[Test]],(VLOOKUP(Data[[#This Row],[Product Family]],ProdFam[],3,FALSE)),(VLOOKUP(Data[[#This Row],[Product Family]],ProdFam[],2,FALSE))))</f>
        <v>1200</v>
      </c>
      <c r="L537" s="1">
        <v>170</v>
      </c>
      <c r="M537" s="1">
        <v>50</v>
      </c>
      <c r="N537" s="7">
        <f>IFERROR(Data[[#This Row],[Actual Time]]/Data[[#This Row],[QTY Complete]],"")</f>
        <v>3.4</v>
      </c>
      <c r="O537" s="7">
        <f>IF(I537=ProdFam[[#Headers],[Test]],(VLOOKUP(Data[[#This Row],[Product Family]],ProdFam[],3,FALSE)),(VLOOKUP(Data[[#This Row],[Product Family]],ProdFam[],2,FALSE)))</f>
        <v>24</v>
      </c>
    </row>
    <row r="538" spans="2:15" x14ac:dyDescent="0.25">
      <c r="B538" s="1">
        <f>WEEKNUM(Data[[#This Row],[Date]],1)</f>
        <v>46</v>
      </c>
      <c r="C538" s="15">
        <f>YEAR(Data[[#This Row],[Date]])</f>
        <v>2019</v>
      </c>
      <c r="D538" s="5">
        <v>43783</v>
      </c>
      <c r="E538" s="1" t="s">
        <v>122</v>
      </c>
      <c r="F538" s="1">
        <v>29201</v>
      </c>
      <c r="G538" s="1" t="s">
        <v>85</v>
      </c>
      <c r="H538" s="1" t="s">
        <v>123</v>
      </c>
      <c r="I538" s="1" t="s">
        <v>0</v>
      </c>
      <c r="J538" s="1">
        <v>10</v>
      </c>
      <c r="K538" s="1">
        <f>J538*(IF(I538=ProdFam[[#Headers],[Test]],(VLOOKUP(Data[[#This Row],[Product Family]],ProdFam[],3,FALSE)),(VLOOKUP(Data[[#This Row],[Product Family]],ProdFam[],2,FALSE))))</f>
        <v>900</v>
      </c>
      <c r="L538" s="1">
        <v>570</v>
      </c>
      <c r="M538" s="1">
        <v>0</v>
      </c>
      <c r="N538" s="7" t="str">
        <f>IFERROR(Data[[#This Row],[Actual Time]]/Data[[#This Row],[QTY Complete]],"")</f>
        <v/>
      </c>
      <c r="O538" s="7">
        <f>IF(I538=ProdFam[[#Headers],[Test]],(VLOOKUP(Data[[#This Row],[Product Family]],ProdFam[],3,FALSE)),(VLOOKUP(Data[[#This Row],[Product Family]],ProdFam[],2,FALSE)))</f>
        <v>90</v>
      </c>
    </row>
    <row r="539" spans="2:15" x14ac:dyDescent="0.25">
      <c r="B539" s="1">
        <f>WEEKNUM(Data[[#This Row],[Date]],1)</f>
        <v>46</v>
      </c>
      <c r="C539" s="15">
        <f>YEAR(Data[[#This Row],[Date]])</f>
        <v>2019</v>
      </c>
      <c r="D539" s="5">
        <v>43783</v>
      </c>
      <c r="E539" s="1" t="s">
        <v>111</v>
      </c>
      <c r="F539" s="1">
        <v>28128</v>
      </c>
      <c r="G539" s="1" t="s">
        <v>60</v>
      </c>
      <c r="H539" s="1" t="s">
        <v>113</v>
      </c>
      <c r="I539" s="1" t="s">
        <v>1</v>
      </c>
      <c r="J539" s="1">
        <v>6</v>
      </c>
      <c r="K539" s="1">
        <f>J539*(IF(I539=ProdFam[[#Headers],[Test]],(VLOOKUP(Data[[#This Row],[Product Family]],ProdFam[],3,FALSE)),(VLOOKUP(Data[[#This Row],[Product Family]],ProdFam[],2,FALSE))))</f>
        <v>192</v>
      </c>
      <c r="L539" s="1">
        <v>180</v>
      </c>
      <c r="M539" s="1">
        <v>6</v>
      </c>
      <c r="N539" s="7">
        <f>IFERROR(Data[[#This Row],[Actual Time]]/Data[[#This Row],[QTY Complete]],"")</f>
        <v>30</v>
      </c>
      <c r="O539" s="7">
        <f>IF(I539=ProdFam[[#Headers],[Test]],(VLOOKUP(Data[[#This Row],[Product Family]],ProdFam[],3,FALSE)),(VLOOKUP(Data[[#This Row],[Product Family]],ProdFam[],2,FALSE)))</f>
        <v>32</v>
      </c>
    </row>
    <row r="540" spans="2:15" x14ac:dyDescent="0.25">
      <c r="B540" s="1">
        <f>WEEKNUM(Data[[#This Row],[Date]],1)</f>
        <v>46</v>
      </c>
      <c r="C540" s="15">
        <f>YEAR(Data[[#This Row],[Date]])</f>
        <v>2019</v>
      </c>
      <c r="D540" s="5">
        <v>43783</v>
      </c>
      <c r="E540" s="1" t="s">
        <v>111</v>
      </c>
      <c r="F540" s="1">
        <v>28250</v>
      </c>
      <c r="G540" s="1" t="s">
        <v>50</v>
      </c>
      <c r="H540" s="1" t="s">
        <v>113</v>
      </c>
      <c r="I540" s="1" t="s">
        <v>1</v>
      </c>
      <c r="J540" s="1">
        <v>10</v>
      </c>
      <c r="K540" s="1">
        <f>J540*(IF(I540=ProdFam[[#Headers],[Test]],(VLOOKUP(Data[[#This Row],[Product Family]],ProdFam[],3,FALSE)),(VLOOKUP(Data[[#This Row],[Product Family]],ProdFam[],2,FALSE))))</f>
        <v>320</v>
      </c>
      <c r="L540" s="1">
        <v>210</v>
      </c>
      <c r="M540" s="1">
        <v>10</v>
      </c>
      <c r="N540" s="7">
        <f>IFERROR(Data[[#This Row],[Actual Time]]/Data[[#This Row],[QTY Complete]],"")</f>
        <v>21</v>
      </c>
      <c r="O540" s="7">
        <f>IF(I540=ProdFam[[#Headers],[Test]],(VLOOKUP(Data[[#This Row],[Product Family]],ProdFam[],3,FALSE)),(VLOOKUP(Data[[#This Row],[Product Family]],ProdFam[],2,FALSE)))</f>
        <v>32</v>
      </c>
    </row>
    <row r="541" spans="2:15" x14ac:dyDescent="0.25">
      <c r="B541" s="1">
        <f>WEEKNUM(Data[[#This Row],[Date]],1)</f>
        <v>46</v>
      </c>
      <c r="C541" s="15">
        <f>YEAR(Data[[#This Row],[Date]])</f>
        <v>2019</v>
      </c>
      <c r="D541" s="5">
        <v>43783</v>
      </c>
      <c r="E541" s="1" t="s">
        <v>117</v>
      </c>
      <c r="F541" s="1">
        <v>28992</v>
      </c>
      <c r="G541" s="1" t="s">
        <v>51</v>
      </c>
      <c r="H541" s="1" t="s">
        <v>113</v>
      </c>
      <c r="I541" s="1" t="s">
        <v>1</v>
      </c>
      <c r="J541" s="1">
        <v>3</v>
      </c>
      <c r="K541" s="1">
        <f>J541*(IF(I541=ProdFam[[#Headers],[Test]],(VLOOKUP(Data[[#This Row],[Product Family]],ProdFam[],3,FALSE)),(VLOOKUP(Data[[#This Row],[Product Family]],ProdFam[],2,FALSE))))</f>
        <v>96</v>
      </c>
      <c r="L541" s="1">
        <v>85</v>
      </c>
      <c r="M541" s="1">
        <v>3</v>
      </c>
      <c r="N541" s="7">
        <f>IFERROR(Data[[#This Row],[Actual Time]]/Data[[#This Row],[QTY Complete]],"")</f>
        <v>28.333333333333332</v>
      </c>
      <c r="O541" s="7">
        <f>IF(I541=ProdFam[[#Headers],[Test]],(VLOOKUP(Data[[#This Row],[Product Family]],ProdFam[],3,FALSE)),(VLOOKUP(Data[[#This Row],[Product Family]],ProdFam[],2,FALSE)))</f>
        <v>32</v>
      </c>
    </row>
    <row r="542" spans="2:15" x14ac:dyDescent="0.25">
      <c r="B542" s="1">
        <f>WEEKNUM(Data[[#This Row],[Date]],1)</f>
        <v>46</v>
      </c>
      <c r="C542" s="15">
        <f>YEAR(Data[[#This Row],[Date]])</f>
        <v>2019</v>
      </c>
      <c r="D542" s="5">
        <v>43783</v>
      </c>
      <c r="E542" s="1" t="s">
        <v>117</v>
      </c>
      <c r="F542" s="1">
        <v>29198</v>
      </c>
      <c r="G542" s="1" t="s">
        <v>11</v>
      </c>
      <c r="H542" s="1" t="s">
        <v>113</v>
      </c>
      <c r="I542" s="1" t="s">
        <v>1</v>
      </c>
      <c r="J542" s="1">
        <v>8</v>
      </c>
      <c r="K542" s="1">
        <f>J542*(IF(I542=ProdFam[[#Headers],[Test]],(VLOOKUP(Data[[#This Row],[Product Family]],ProdFam[],3,FALSE)),(VLOOKUP(Data[[#This Row],[Product Family]],ProdFam[],2,FALSE))))</f>
        <v>256</v>
      </c>
      <c r="L542" s="1">
        <v>150</v>
      </c>
      <c r="M542" s="1">
        <v>5</v>
      </c>
      <c r="N542" s="7">
        <f>IFERROR(Data[[#This Row],[Actual Time]]/Data[[#This Row],[QTY Complete]],"")</f>
        <v>30</v>
      </c>
      <c r="O542" s="7">
        <f>IF(I542=ProdFam[[#Headers],[Test]],(VLOOKUP(Data[[#This Row],[Product Family]],ProdFam[],3,FALSE)),(VLOOKUP(Data[[#This Row],[Product Family]],ProdFam[],2,FALSE)))</f>
        <v>32</v>
      </c>
    </row>
    <row r="543" spans="2:15" x14ac:dyDescent="0.25">
      <c r="B543" s="1">
        <f>WEEKNUM(Data[[#This Row],[Date]],1)</f>
        <v>46</v>
      </c>
      <c r="C543" s="15">
        <f>YEAR(Data[[#This Row],[Date]])</f>
        <v>2019</v>
      </c>
      <c r="D543" s="5">
        <v>43783</v>
      </c>
      <c r="E543" s="1" t="s">
        <v>117</v>
      </c>
      <c r="F543" s="1">
        <v>29242</v>
      </c>
      <c r="G543" s="1" t="s">
        <v>50</v>
      </c>
      <c r="H543" s="1" t="s">
        <v>113</v>
      </c>
      <c r="I543" s="1" t="s">
        <v>1</v>
      </c>
      <c r="J543" s="1">
        <v>10</v>
      </c>
      <c r="K543" s="1">
        <f>J543*(IF(I543=ProdFam[[#Headers],[Test]],(VLOOKUP(Data[[#This Row],[Product Family]],ProdFam[],3,FALSE)),(VLOOKUP(Data[[#This Row],[Product Family]],ProdFam[],2,FALSE))))</f>
        <v>320</v>
      </c>
      <c r="L543" s="1">
        <v>60</v>
      </c>
      <c r="M543" s="1">
        <v>10</v>
      </c>
      <c r="N543" s="7">
        <f>IFERROR(Data[[#This Row],[Actual Time]]/Data[[#This Row],[QTY Complete]],"")</f>
        <v>6</v>
      </c>
      <c r="O543" s="7">
        <f>IF(I543=ProdFam[[#Headers],[Test]],(VLOOKUP(Data[[#This Row],[Product Family]],ProdFam[],3,FALSE)),(VLOOKUP(Data[[#This Row],[Product Family]],ProdFam[],2,FALSE)))</f>
        <v>32</v>
      </c>
    </row>
    <row r="544" spans="2:15" x14ac:dyDescent="0.25">
      <c r="B544" s="1">
        <f>WEEKNUM(Data[[#This Row],[Date]],1)</f>
        <v>46</v>
      </c>
      <c r="C544" s="15">
        <f>YEAR(Data[[#This Row],[Date]])</f>
        <v>2019</v>
      </c>
      <c r="D544" s="5">
        <v>43783</v>
      </c>
      <c r="E544" s="1" t="s">
        <v>117</v>
      </c>
      <c r="F544" s="1">
        <v>29124</v>
      </c>
      <c r="G544" s="1" t="s">
        <v>2</v>
      </c>
      <c r="H544" s="1" t="s">
        <v>112</v>
      </c>
      <c r="I544" s="1" t="s">
        <v>1</v>
      </c>
      <c r="J544" s="1">
        <v>12</v>
      </c>
      <c r="K544" s="1">
        <f>J544*(IF(I544=ProdFam[[#Headers],[Test]],(VLOOKUP(Data[[#This Row],[Product Family]],ProdFam[],3,FALSE)),(VLOOKUP(Data[[#This Row],[Product Family]],ProdFam[],2,FALSE))))</f>
        <v>120</v>
      </c>
      <c r="L544" s="1">
        <v>60</v>
      </c>
      <c r="M544" s="1">
        <v>12</v>
      </c>
      <c r="N544" s="7">
        <f>IFERROR(Data[[#This Row],[Actual Time]]/Data[[#This Row],[QTY Complete]],"")</f>
        <v>5</v>
      </c>
      <c r="O544" s="7">
        <f>IF(I544=ProdFam[[#Headers],[Test]],(VLOOKUP(Data[[#This Row],[Product Family]],ProdFam[],3,FALSE)),(VLOOKUP(Data[[#This Row],[Product Family]],ProdFam[],2,FALSE)))</f>
        <v>10</v>
      </c>
    </row>
    <row r="545" spans="2:16" x14ac:dyDescent="0.25">
      <c r="B545" s="1">
        <f>WEEKNUM(Data[[#This Row],[Date]],1)</f>
        <v>46</v>
      </c>
      <c r="C545" s="15">
        <f>YEAR(Data[[#This Row],[Date]])</f>
        <v>2019</v>
      </c>
      <c r="D545" s="5">
        <v>43783</v>
      </c>
      <c r="E545" s="1" t="s">
        <v>117</v>
      </c>
      <c r="F545" s="1">
        <v>29252</v>
      </c>
      <c r="G545" s="1" t="s">
        <v>16</v>
      </c>
      <c r="H545" s="1" t="s">
        <v>113</v>
      </c>
      <c r="I545" s="1" t="s">
        <v>1</v>
      </c>
      <c r="J545" s="1">
        <v>10</v>
      </c>
      <c r="K545" s="1">
        <f>J545*(IF(I545=ProdFam[[#Headers],[Test]],(VLOOKUP(Data[[#This Row],[Product Family]],ProdFam[],3,FALSE)),(VLOOKUP(Data[[#This Row],[Product Family]],ProdFam[],2,FALSE))))</f>
        <v>320</v>
      </c>
      <c r="L545" s="1">
        <v>100</v>
      </c>
      <c r="M545" s="1">
        <v>0</v>
      </c>
      <c r="N545" s="7" t="str">
        <f>IFERROR(Data[[#This Row],[Actual Time]]/Data[[#This Row],[QTY Complete]],"")</f>
        <v/>
      </c>
      <c r="O545" s="7">
        <f>IF(I545=ProdFam[[#Headers],[Test]],(VLOOKUP(Data[[#This Row],[Product Family]],ProdFam[],3,FALSE)),(VLOOKUP(Data[[#This Row],[Product Family]],ProdFam[],2,FALSE)))</f>
        <v>32</v>
      </c>
    </row>
    <row r="546" spans="2:16" x14ac:dyDescent="0.25">
      <c r="B546" s="1">
        <f>WEEKNUM(Data[[#This Row],[Date]],1)</f>
        <v>46</v>
      </c>
      <c r="C546" s="15">
        <f>YEAR(Data[[#This Row],[Date]])</f>
        <v>2019</v>
      </c>
      <c r="D546" s="5">
        <v>43783</v>
      </c>
      <c r="E546" s="1" t="s">
        <v>118</v>
      </c>
      <c r="F546" s="1">
        <v>29252</v>
      </c>
      <c r="G546" s="1" t="s">
        <v>16</v>
      </c>
      <c r="H546" s="1" t="s">
        <v>113</v>
      </c>
      <c r="I546" s="1" t="s">
        <v>0</v>
      </c>
      <c r="J546" s="1">
        <v>10</v>
      </c>
      <c r="K546" s="1">
        <f>J546*(IF(I546=ProdFam[[#Headers],[Test]],(VLOOKUP(Data[[#This Row],[Product Family]],ProdFam[],3,FALSE)),(VLOOKUP(Data[[#This Row],[Product Family]],ProdFam[],2,FALSE))))</f>
        <v>470</v>
      </c>
      <c r="L546" s="1">
        <v>210</v>
      </c>
      <c r="M546" s="1">
        <v>10</v>
      </c>
      <c r="N546" s="7">
        <f>IFERROR(Data[[#This Row],[Actual Time]]/Data[[#This Row],[QTY Complete]],"")</f>
        <v>21</v>
      </c>
      <c r="O546" s="7">
        <f>IF(I546=ProdFam[[#Headers],[Test]],(VLOOKUP(Data[[#This Row],[Product Family]],ProdFam[],3,FALSE)),(VLOOKUP(Data[[#This Row],[Product Family]],ProdFam[],2,FALSE)))</f>
        <v>47</v>
      </c>
    </row>
    <row r="547" spans="2:16" x14ac:dyDescent="0.25">
      <c r="B547" s="1">
        <f>WEEKNUM(Data[[#This Row],[Date]],1)</f>
        <v>46</v>
      </c>
      <c r="C547" s="15">
        <f>YEAR(Data[[#This Row],[Date]])</f>
        <v>2019</v>
      </c>
      <c r="D547" s="5">
        <v>43783</v>
      </c>
      <c r="E547" s="1" t="s">
        <v>118</v>
      </c>
      <c r="F547" s="1">
        <v>28993</v>
      </c>
      <c r="G547" s="1" t="s">
        <v>59</v>
      </c>
      <c r="H547" s="1" t="s">
        <v>113</v>
      </c>
      <c r="I547" s="1" t="s">
        <v>0</v>
      </c>
      <c r="J547" s="1">
        <v>5</v>
      </c>
      <c r="K547" s="1">
        <f>J547*(IF(I547=ProdFam[[#Headers],[Test]],(VLOOKUP(Data[[#This Row],[Product Family]],ProdFam[],3,FALSE)),(VLOOKUP(Data[[#This Row],[Product Family]],ProdFam[],2,FALSE))))</f>
        <v>235</v>
      </c>
      <c r="L547" s="1">
        <v>260</v>
      </c>
      <c r="M547" s="1">
        <v>0</v>
      </c>
      <c r="N547" s="7" t="str">
        <f>IFERROR(Data[[#This Row],[Actual Time]]/Data[[#This Row],[QTY Complete]],"")</f>
        <v/>
      </c>
      <c r="O547" s="7">
        <f>IF(I547=ProdFam[[#Headers],[Test]],(VLOOKUP(Data[[#This Row],[Product Family]],ProdFam[],3,FALSE)),(VLOOKUP(Data[[#This Row],[Product Family]],ProdFam[],2,FALSE)))</f>
        <v>47</v>
      </c>
    </row>
    <row r="548" spans="2:16" x14ac:dyDescent="0.25">
      <c r="B548" s="1">
        <f>WEEKNUM(Data[[#This Row],[Date]],1)</f>
        <v>48</v>
      </c>
      <c r="C548" s="15">
        <f>YEAR(Data[[#This Row],[Date]])</f>
        <v>2019</v>
      </c>
      <c r="D548" s="5">
        <v>43795</v>
      </c>
      <c r="E548" s="1" t="s">
        <v>128</v>
      </c>
      <c r="F548" s="1">
        <v>29523</v>
      </c>
      <c r="G548" s="1" t="s">
        <v>12</v>
      </c>
      <c r="H548" s="1" t="s">
        <v>116</v>
      </c>
      <c r="I548" s="1" t="s">
        <v>0</v>
      </c>
      <c r="J548" s="1">
        <v>10</v>
      </c>
      <c r="K548" s="1">
        <f>J548*(IF(I548=ProdFam[[#Headers],[Test]],(VLOOKUP(Data[[#This Row],[Product Family]],ProdFam[],3,FALSE)),(VLOOKUP(Data[[#This Row],[Product Family]],ProdFam[],2,FALSE))))</f>
        <v>50</v>
      </c>
      <c r="L548" s="1">
        <v>360</v>
      </c>
      <c r="M548" s="1">
        <v>10</v>
      </c>
      <c r="N548" s="7">
        <f>IFERROR(Data[[#This Row],[Actual Time]]/Data[[#This Row],[QTY Complete]],"")</f>
        <v>36</v>
      </c>
      <c r="O548" s="7">
        <f>IF(I548=ProdFam[[#Headers],[Test]],(VLOOKUP(Data[[#This Row],[Product Family]],ProdFam[],3,FALSE)),(VLOOKUP(Data[[#This Row],[Product Family]],ProdFam[],2,FALSE)))</f>
        <v>5</v>
      </c>
    </row>
    <row r="549" spans="2:16" x14ac:dyDescent="0.25">
      <c r="B549" s="18">
        <f>WEEKNUM(Data[[#This Row],[Date]],1)</f>
        <v>49</v>
      </c>
      <c r="C549" s="19">
        <f>YEAR(Data[[#This Row],[Date]])</f>
        <v>2019</v>
      </c>
      <c r="D549" s="21">
        <v>43806</v>
      </c>
      <c r="E549" s="18" t="s">
        <v>117</v>
      </c>
      <c r="F549" s="22">
        <v>29536</v>
      </c>
      <c r="G549" s="23" t="s">
        <v>52</v>
      </c>
      <c r="H549" s="1" t="s">
        <v>112</v>
      </c>
      <c r="I549" s="1" t="s">
        <v>1</v>
      </c>
      <c r="J549" s="22">
        <v>3</v>
      </c>
      <c r="K549" s="18">
        <f>J549*(IF(I549=ProdFam[[#Headers],[Test]],(VLOOKUP(Data[[#This Row],[Product Family]],ProdFam[],3,FALSE)),(VLOOKUP(Data[[#This Row],[Product Family]],ProdFam[],2,FALSE))))</f>
        <v>30</v>
      </c>
      <c r="L549" s="18">
        <v>20</v>
      </c>
      <c r="M549" s="18">
        <v>3</v>
      </c>
      <c r="N549" s="20">
        <f>IFERROR(Data[[#This Row],[Actual Time]]/Data[[#This Row],[QTY Complete]],"")</f>
        <v>6.666666666666667</v>
      </c>
      <c r="O549" s="20">
        <f>IF(I549=ProdFam[[#Headers],[Test]],(VLOOKUP(Data[[#This Row],[Product Family]],ProdFam[],3,FALSE)),(VLOOKUP(Data[[#This Row],[Product Family]],ProdFam[],2,FALSE)))</f>
        <v>10</v>
      </c>
      <c r="P549" s="18"/>
    </row>
    <row r="550" spans="2:16" x14ac:dyDescent="0.25">
      <c r="B550" s="18">
        <f>WEEKNUM(Data[[#This Row],[Date]],1)</f>
        <v>49</v>
      </c>
      <c r="C550" s="19">
        <f>YEAR(Data[[#This Row],[Date]])</f>
        <v>2019</v>
      </c>
      <c r="D550" s="21">
        <v>43806</v>
      </c>
      <c r="E550" s="18" t="s">
        <v>117</v>
      </c>
      <c r="F550" s="22">
        <v>29695</v>
      </c>
      <c r="G550" s="22" t="s">
        <v>42</v>
      </c>
      <c r="H550" s="1" t="s">
        <v>112</v>
      </c>
      <c r="I550" s="1" t="s">
        <v>1</v>
      </c>
      <c r="J550" s="22">
        <v>6</v>
      </c>
      <c r="K550" s="18">
        <f>J550*(IF(I550=ProdFam[[#Headers],[Test]],(VLOOKUP(Data[[#This Row],[Product Family]],ProdFam[],3,FALSE)),(VLOOKUP(Data[[#This Row],[Product Family]],ProdFam[],2,FALSE))))</f>
        <v>60</v>
      </c>
      <c r="L550" s="18">
        <v>40</v>
      </c>
      <c r="M550" s="18">
        <v>6</v>
      </c>
      <c r="N550" s="20">
        <f>IFERROR(Data[[#This Row],[Actual Time]]/Data[[#This Row],[QTY Complete]],"")</f>
        <v>6.666666666666667</v>
      </c>
      <c r="O550" s="20">
        <f>IF(I550=ProdFam[[#Headers],[Test]],(VLOOKUP(Data[[#This Row],[Product Family]],ProdFam[],3,FALSE)),(VLOOKUP(Data[[#This Row],[Product Family]],ProdFam[],2,FALSE)))</f>
        <v>10</v>
      </c>
      <c r="P550" s="18"/>
    </row>
    <row r="551" spans="2:16" x14ac:dyDescent="0.25">
      <c r="B551" s="18">
        <f>WEEKNUM(Data[[#This Row],[Date]],1)</f>
        <v>49</v>
      </c>
      <c r="C551" s="19">
        <f>YEAR(Data[[#This Row],[Date]])</f>
        <v>2019</v>
      </c>
      <c r="D551" s="21">
        <v>43806</v>
      </c>
      <c r="E551" s="18" t="s">
        <v>117</v>
      </c>
      <c r="F551" s="22">
        <v>29471</v>
      </c>
      <c r="G551" s="22" t="s">
        <v>49</v>
      </c>
      <c r="H551" s="1" t="s">
        <v>112</v>
      </c>
      <c r="I551" s="1" t="s">
        <v>1</v>
      </c>
      <c r="J551" s="22">
        <v>12</v>
      </c>
      <c r="K551" s="18">
        <f>J551*(IF(I551=ProdFam[[#Headers],[Test]],(VLOOKUP(Data[[#This Row],[Product Family]],ProdFam[],3,FALSE)),(VLOOKUP(Data[[#This Row],[Product Family]],ProdFam[],2,FALSE))))</f>
        <v>120</v>
      </c>
      <c r="L551" s="18">
        <v>75</v>
      </c>
      <c r="M551" s="18">
        <v>12</v>
      </c>
      <c r="N551" s="20">
        <f>IFERROR(Data[[#This Row],[Actual Time]]/Data[[#This Row],[QTY Complete]],"")</f>
        <v>6.25</v>
      </c>
      <c r="O551" s="20">
        <f>IF(I551=ProdFam[[#Headers],[Test]],(VLOOKUP(Data[[#This Row],[Product Family]],ProdFam[],3,FALSE)),(VLOOKUP(Data[[#This Row],[Product Family]],ProdFam[],2,FALSE)))</f>
        <v>10</v>
      </c>
      <c r="P551" s="18"/>
    </row>
    <row r="552" spans="2:16" x14ac:dyDescent="0.25">
      <c r="B552" s="18">
        <f>WEEKNUM(Data[[#This Row],[Date]],1)</f>
        <v>49</v>
      </c>
      <c r="C552" s="19">
        <f>YEAR(Data[[#This Row],[Date]])</f>
        <v>2019</v>
      </c>
      <c r="D552" s="21">
        <v>43806</v>
      </c>
      <c r="E552" s="18" t="s">
        <v>117</v>
      </c>
      <c r="F552" s="22">
        <v>29453</v>
      </c>
      <c r="G552" s="22" t="s">
        <v>84</v>
      </c>
      <c r="H552" s="1" t="s">
        <v>112</v>
      </c>
      <c r="I552" s="1" t="s">
        <v>1</v>
      </c>
      <c r="J552" s="22">
        <v>12</v>
      </c>
      <c r="K552" s="18">
        <f>J552*(IF(I552=ProdFam[[#Headers],[Test]],(VLOOKUP(Data[[#This Row],[Product Family]],ProdFam[],3,FALSE)),(VLOOKUP(Data[[#This Row],[Product Family]],ProdFam[],2,FALSE))))</f>
        <v>120</v>
      </c>
      <c r="L552" s="18">
        <v>33</v>
      </c>
      <c r="M552" s="18">
        <v>12</v>
      </c>
      <c r="N552" s="20">
        <f>IFERROR(Data[[#This Row],[Actual Time]]/Data[[#This Row],[QTY Complete]],"")</f>
        <v>2.75</v>
      </c>
      <c r="O552" s="20">
        <f>IF(I552=ProdFam[[#Headers],[Test]],(VLOOKUP(Data[[#This Row],[Product Family]],ProdFam[],3,FALSE)),(VLOOKUP(Data[[#This Row],[Product Family]],ProdFam[],2,FALSE)))</f>
        <v>10</v>
      </c>
      <c r="P552" s="18"/>
    </row>
    <row r="553" spans="2:16" x14ac:dyDescent="0.25">
      <c r="B553" s="18">
        <f>WEEKNUM(Data[[#This Row],[Date]],1)</f>
        <v>49</v>
      </c>
      <c r="C553" s="19">
        <f>YEAR(Data[[#This Row],[Date]])</f>
        <v>2019</v>
      </c>
      <c r="D553" s="21">
        <v>43806</v>
      </c>
      <c r="E553" s="18" t="s">
        <v>117</v>
      </c>
      <c r="F553" s="22">
        <v>29468</v>
      </c>
      <c r="G553" s="22" t="s">
        <v>133</v>
      </c>
      <c r="H553" s="1" t="s">
        <v>112</v>
      </c>
      <c r="I553" s="1" t="s">
        <v>1</v>
      </c>
      <c r="J553" s="22">
        <v>15</v>
      </c>
      <c r="K553" s="18">
        <f>J553*(IF(I553=ProdFam[[#Headers],[Test]],(VLOOKUP(Data[[#This Row],[Product Family]],ProdFam[],3,FALSE)),(VLOOKUP(Data[[#This Row],[Product Family]],ProdFam[],2,FALSE))))</f>
        <v>150</v>
      </c>
      <c r="L553" s="18">
        <v>76</v>
      </c>
      <c r="M553" s="18">
        <v>15</v>
      </c>
      <c r="N553" s="20">
        <f>IFERROR(Data[[#This Row],[Actual Time]]/Data[[#This Row],[QTY Complete]],"")</f>
        <v>5.0666666666666664</v>
      </c>
      <c r="O553" s="20">
        <f>IF(I553=ProdFam[[#Headers],[Test]],(VLOOKUP(Data[[#This Row],[Product Family]],ProdFam[],3,FALSE)),(VLOOKUP(Data[[#This Row],[Product Family]],ProdFam[],2,FALSE)))</f>
        <v>10</v>
      </c>
      <c r="P553" s="18"/>
    </row>
    <row r="554" spans="2:16" x14ac:dyDescent="0.25">
      <c r="B554" s="18">
        <f>WEEKNUM(Data[[#This Row],[Date]],1)</f>
        <v>50</v>
      </c>
      <c r="C554" s="19">
        <f>YEAR(Data[[#This Row],[Date]])</f>
        <v>2019</v>
      </c>
      <c r="D554" s="21">
        <v>43809</v>
      </c>
      <c r="E554" s="18" t="s">
        <v>131</v>
      </c>
      <c r="F554" s="22">
        <v>29542</v>
      </c>
      <c r="G554" s="22" t="s">
        <v>25</v>
      </c>
      <c r="H554" s="1" t="s">
        <v>113</v>
      </c>
      <c r="I554" s="1" t="s">
        <v>0</v>
      </c>
      <c r="J554" s="22">
        <v>10</v>
      </c>
      <c r="K554" s="18">
        <f>J554*(IF(I554=ProdFam[[#Headers],[Test]],(VLOOKUP(Data[[#This Row],[Product Family]],ProdFam[],3,FALSE)),(VLOOKUP(Data[[#This Row],[Product Family]],ProdFam[],2,FALSE))))</f>
        <v>470</v>
      </c>
      <c r="L554" s="18">
        <v>393</v>
      </c>
      <c r="M554" s="18">
        <v>10</v>
      </c>
      <c r="N554" s="20">
        <f>IFERROR(Data[[#This Row],[Actual Time]]/Data[[#This Row],[QTY Complete]],"")</f>
        <v>39.299999999999997</v>
      </c>
      <c r="O554" s="20">
        <f>IF(I554=ProdFam[[#Headers],[Test]],(VLOOKUP(Data[[#This Row],[Product Family]],ProdFam[],3,FALSE)),(VLOOKUP(Data[[#This Row],[Product Family]],ProdFam[],2,FALSE)))</f>
        <v>47</v>
      </c>
      <c r="P554" s="18"/>
    </row>
    <row r="555" spans="2:16" x14ac:dyDescent="0.25">
      <c r="B555" s="18">
        <f>WEEKNUM(Data[[#This Row],[Date]],1)</f>
        <v>50</v>
      </c>
      <c r="C555" s="19">
        <f>YEAR(Data[[#This Row],[Date]])</f>
        <v>2019</v>
      </c>
      <c r="D555" s="21">
        <v>43809</v>
      </c>
      <c r="E555" s="18" t="s">
        <v>131</v>
      </c>
      <c r="F555" s="22">
        <v>29792</v>
      </c>
      <c r="G555" s="22" t="s">
        <v>25</v>
      </c>
      <c r="H555" s="1" t="s">
        <v>113</v>
      </c>
      <c r="I555" s="1" t="s">
        <v>0</v>
      </c>
      <c r="J555" s="22">
        <v>11</v>
      </c>
      <c r="K555" s="18">
        <f>J555*(IF(I555=ProdFam[[#Headers],[Test]],(VLOOKUP(Data[[#This Row],[Product Family]],ProdFam[],3,FALSE)),(VLOOKUP(Data[[#This Row],[Product Family]],ProdFam[],2,FALSE))))</f>
        <v>517</v>
      </c>
      <c r="L555" s="18"/>
      <c r="M555" s="18">
        <v>0</v>
      </c>
      <c r="N555" s="20" t="str">
        <f>IFERROR(Data[[#This Row],[Actual Time]]/Data[[#This Row],[QTY Complete]],"")</f>
        <v/>
      </c>
      <c r="O555" s="20">
        <f>IF(I555=ProdFam[[#Headers],[Test]],(VLOOKUP(Data[[#This Row],[Product Family]],ProdFam[],3,FALSE)),(VLOOKUP(Data[[#This Row],[Product Family]],ProdFam[],2,FALSE)))</f>
        <v>47</v>
      </c>
      <c r="P555" s="18"/>
    </row>
    <row r="556" spans="2:16" x14ac:dyDescent="0.25">
      <c r="B556" s="1">
        <f>WEEKNUM(Data[[#This Row],[Date]],1)</f>
        <v>50</v>
      </c>
      <c r="C556" s="15">
        <f>YEAR(Data[[#This Row],[Date]])</f>
        <v>2019</v>
      </c>
      <c r="D556" s="5">
        <v>43808</v>
      </c>
      <c r="E556" s="1" t="s">
        <v>122</v>
      </c>
      <c r="F556" s="1">
        <v>29691</v>
      </c>
      <c r="G556" s="1" t="s">
        <v>29</v>
      </c>
      <c r="H556" s="1" t="s">
        <v>113</v>
      </c>
      <c r="I556" s="1" t="s">
        <v>0</v>
      </c>
      <c r="J556" s="1">
        <v>10</v>
      </c>
      <c r="K556" s="1">
        <f>J556*(IF(I556=ProdFam[[#Headers],[Test]],(VLOOKUP(Data[[#This Row],[Product Family]],ProdFam[],3,FALSE)),(VLOOKUP(Data[[#This Row],[Product Family]],ProdFam[],2,FALSE))))</f>
        <v>470</v>
      </c>
      <c r="L556" s="1">
        <v>420</v>
      </c>
      <c r="M556" s="1">
        <v>10</v>
      </c>
      <c r="N556" s="7">
        <f>IFERROR(Data[[#This Row],[Actual Time]]/Data[[#This Row],[QTY Complete]],"")</f>
        <v>42</v>
      </c>
      <c r="O556" s="7">
        <f>IF(I556=ProdFam[[#Headers],[Test]],(VLOOKUP(Data[[#This Row],[Product Family]],ProdFam[],3,FALSE)),(VLOOKUP(Data[[#This Row],[Product Family]],ProdFam[],2,FALSE)))</f>
        <v>47</v>
      </c>
    </row>
    <row r="557" spans="2:16" x14ac:dyDescent="0.25">
      <c r="B557" s="1">
        <f>WEEKNUM(Data[[#This Row],[Date]],1)</f>
        <v>50</v>
      </c>
      <c r="C557" s="15">
        <f>YEAR(Data[[#This Row],[Date]])</f>
        <v>2019</v>
      </c>
      <c r="D557" s="5">
        <v>43808</v>
      </c>
      <c r="E557" s="1" t="s">
        <v>122</v>
      </c>
      <c r="F557" s="1">
        <v>29534</v>
      </c>
      <c r="G557" s="1" t="s">
        <v>50</v>
      </c>
      <c r="H557" s="1" t="s">
        <v>113</v>
      </c>
      <c r="I557" s="1" t="s">
        <v>0</v>
      </c>
      <c r="J557" s="1">
        <v>8</v>
      </c>
      <c r="K557" s="1">
        <f>J557*(IF(I557=ProdFam[[#Headers],[Test]],(VLOOKUP(Data[[#This Row],[Product Family]],ProdFam[],3,FALSE)),(VLOOKUP(Data[[#This Row],[Product Family]],ProdFam[],2,FALSE))))</f>
        <v>376</v>
      </c>
      <c r="L557" s="1">
        <v>270</v>
      </c>
      <c r="M557" s="1">
        <v>8</v>
      </c>
      <c r="N557" s="7">
        <f>IFERROR(Data[[#This Row],[Actual Time]]/Data[[#This Row],[QTY Complete]],"")</f>
        <v>33.75</v>
      </c>
      <c r="O557" s="7">
        <f>IF(I557=ProdFam[[#Headers],[Test]],(VLOOKUP(Data[[#This Row],[Product Family]],ProdFam[],3,FALSE)),(VLOOKUP(Data[[#This Row],[Product Family]],ProdFam[],2,FALSE)))</f>
        <v>47</v>
      </c>
    </row>
    <row r="558" spans="2:16" x14ac:dyDescent="0.25">
      <c r="B558" s="1">
        <f>WEEKNUM(Data[[#This Row],[Date]],1)</f>
        <v>50</v>
      </c>
      <c r="C558" s="15">
        <f>YEAR(Data[[#This Row],[Date]])</f>
        <v>2019</v>
      </c>
      <c r="D558" s="5">
        <v>43808</v>
      </c>
      <c r="E558" s="1" t="s">
        <v>122</v>
      </c>
      <c r="F558" s="1">
        <v>29872</v>
      </c>
      <c r="G558" s="1" t="s">
        <v>91</v>
      </c>
      <c r="H558" s="1" t="s">
        <v>113</v>
      </c>
      <c r="I558" s="1" t="s">
        <v>0</v>
      </c>
      <c r="J558" s="1">
        <v>8</v>
      </c>
      <c r="K558" s="1">
        <f>J558*(IF(I558=ProdFam[[#Headers],[Test]],(VLOOKUP(Data[[#This Row],[Product Family]],ProdFam[],3,FALSE)),(VLOOKUP(Data[[#This Row],[Product Family]],ProdFam[],2,FALSE))))</f>
        <v>376</v>
      </c>
      <c r="L558" s="1">
        <v>30</v>
      </c>
      <c r="M558" s="1">
        <v>0</v>
      </c>
      <c r="N558" s="7" t="str">
        <f>IFERROR(Data[[#This Row],[Actual Time]]/Data[[#This Row],[QTY Complete]],"")</f>
        <v/>
      </c>
      <c r="O558" s="7">
        <f>IF(I558=ProdFam[[#Headers],[Test]],(VLOOKUP(Data[[#This Row],[Product Family]],ProdFam[],3,FALSE)),(VLOOKUP(Data[[#This Row],[Product Family]],ProdFam[],2,FALSE)))</f>
        <v>47</v>
      </c>
    </row>
    <row r="559" spans="2:16" x14ac:dyDescent="0.25">
      <c r="B559" s="1">
        <f>WEEKNUM(Data[[#This Row],[Date]],1)</f>
        <v>50</v>
      </c>
      <c r="C559" s="15">
        <f>YEAR(Data[[#This Row],[Date]])</f>
        <v>2019</v>
      </c>
      <c r="D559" s="5">
        <v>43808</v>
      </c>
      <c r="E559" s="1" t="s">
        <v>111</v>
      </c>
      <c r="F559" s="1">
        <v>29548</v>
      </c>
      <c r="G559" s="1" t="s">
        <v>29</v>
      </c>
      <c r="H559" s="1" t="s">
        <v>113</v>
      </c>
      <c r="I559" s="1" t="s">
        <v>1</v>
      </c>
      <c r="J559" s="1">
        <v>2</v>
      </c>
      <c r="K559" s="1">
        <f>J559*(IF(I559=ProdFam[[#Headers],[Test]],(VLOOKUP(Data[[#This Row],[Product Family]],ProdFam[],3,FALSE)),(VLOOKUP(Data[[#This Row],[Product Family]],ProdFam[],2,FALSE))))</f>
        <v>64</v>
      </c>
      <c r="L559" s="1">
        <v>150</v>
      </c>
      <c r="M559" s="1">
        <v>2</v>
      </c>
      <c r="N559" s="7">
        <f>IFERROR(Data[[#This Row],[Actual Time]]/Data[[#This Row],[QTY Complete]],"")</f>
        <v>75</v>
      </c>
      <c r="O559" s="7">
        <f>IF(I559=ProdFam[[#Headers],[Test]],(VLOOKUP(Data[[#This Row],[Product Family]],ProdFam[],3,FALSE)),(VLOOKUP(Data[[#This Row],[Product Family]],ProdFam[],2,FALSE)))</f>
        <v>32</v>
      </c>
    </row>
    <row r="560" spans="2:16" x14ac:dyDescent="0.25">
      <c r="B560" s="1">
        <f>WEEKNUM(Data[[#This Row],[Date]],1)</f>
        <v>50</v>
      </c>
      <c r="C560" s="15">
        <f>YEAR(Data[[#This Row],[Date]])</f>
        <v>2019</v>
      </c>
      <c r="D560" s="5">
        <v>43808</v>
      </c>
      <c r="E560" s="1" t="s">
        <v>111</v>
      </c>
      <c r="F560" s="1">
        <v>29742</v>
      </c>
      <c r="G560" s="1" t="s">
        <v>49</v>
      </c>
      <c r="H560" s="1" t="s">
        <v>112</v>
      </c>
      <c r="I560" s="1" t="s">
        <v>1</v>
      </c>
      <c r="J560" s="1">
        <v>12</v>
      </c>
      <c r="K560" s="1">
        <f>J560*(IF(I560=ProdFam[[#Headers],[Test]],(VLOOKUP(Data[[#This Row],[Product Family]],ProdFam[],3,FALSE)),(VLOOKUP(Data[[#This Row],[Product Family]],ProdFam[],2,FALSE))))</f>
        <v>120</v>
      </c>
      <c r="L560" s="1">
        <v>150</v>
      </c>
      <c r="M560" s="1">
        <v>12</v>
      </c>
      <c r="N560" s="7">
        <f>IFERROR(Data[[#This Row],[Actual Time]]/Data[[#This Row],[QTY Complete]],"")</f>
        <v>12.5</v>
      </c>
      <c r="O560" s="7">
        <f>IF(I560=ProdFam[[#Headers],[Test]],(VLOOKUP(Data[[#This Row],[Product Family]],ProdFam[],3,FALSE)),(VLOOKUP(Data[[#This Row],[Product Family]],ProdFam[],2,FALSE)))</f>
        <v>10</v>
      </c>
    </row>
    <row r="561" spans="2:15" x14ac:dyDescent="0.25">
      <c r="B561" s="1">
        <f>WEEKNUM(Data[[#This Row],[Date]],1)</f>
        <v>49</v>
      </c>
      <c r="C561" s="15">
        <f>YEAR(Data[[#This Row],[Date]])</f>
        <v>2019</v>
      </c>
      <c r="D561" s="5">
        <v>43806</v>
      </c>
      <c r="E561" s="1" t="s">
        <v>131</v>
      </c>
      <c r="F561" s="1">
        <v>29526</v>
      </c>
      <c r="G561" s="1" t="s">
        <v>26</v>
      </c>
      <c r="H561" s="1" t="s">
        <v>113</v>
      </c>
      <c r="I561" s="1" t="s">
        <v>0</v>
      </c>
      <c r="J561" s="1">
        <v>10</v>
      </c>
      <c r="K561" s="1">
        <f>J561*(IF(I561=ProdFam[[#Headers],[Test]],(VLOOKUP(Data[[#This Row],[Product Family]],ProdFam[],3,FALSE)),(VLOOKUP(Data[[#This Row],[Product Family]],ProdFam[],2,FALSE))))</f>
        <v>470</v>
      </c>
      <c r="L561" s="1">
        <v>322</v>
      </c>
      <c r="M561" s="1">
        <v>10</v>
      </c>
      <c r="N561" s="7">
        <f>IFERROR(Data[[#This Row],[Actual Time]]/Data[[#This Row],[QTY Complete]],"")</f>
        <v>32.200000000000003</v>
      </c>
      <c r="O561" s="7">
        <f>IF(I561=ProdFam[[#Headers],[Test]],(VLOOKUP(Data[[#This Row],[Product Family]],ProdFam[],3,FALSE)),(VLOOKUP(Data[[#This Row],[Product Family]],ProdFam[],2,FALSE)))</f>
        <v>47</v>
      </c>
    </row>
    <row r="562" spans="2:15" x14ac:dyDescent="0.25">
      <c r="B562" s="1">
        <f>WEEKNUM(Data[[#This Row],[Date]],1)</f>
        <v>49</v>
      </c>
      <c r="C562" s="15">
        <f>YEAR(Data[[#This Row],[Date]])</f>
        <v>2019</v>
      </c>
      <c r="D562" s="5">
        <v>43806</v>
      </c>
      <c r="E562" s="1" t="s">
        <v>131</v>
      </c>
      <c r="F562" s="1">
        <v>29466</v>
      </c>
      <c r="G562" s="1" t="s">
        <v>27</v>
      </c>
      <c r="H562" s="1" t="s">
        <v>113</v>
      </c>
      <c r="I562" s="1" t="s">
        <v>0</v>
      </c>
      <c r="J562" s="1">
        <v>10</v>
      </c>
      <c r="K562" s="1">
        <f>J562*(IF(I562=ProdFam[[#Headers],[Test]],(VLOOKUP(Data[[#This Row],[Product Family]],ProdFam[],3,FALSE)),(VLOOKUP(Data[[#This Row],[Product Family]],ProdFam[],2,FALSE))))</f>
        <v>470</v>
      </c>
      <c r="L562" s="1">
        <v>81</v>
      </c>
      <c r="M562" s="1">
        <v>0</v>
      </c>
      <c r="N562" s="7" t="str">
        <f>IFERROR(Data[[#This Row],[Actual Time]]/Data[[#This Row],[QTY Complete]],"")</f>
        <v/>
      </c>
      <c r="O562" s="7">
        <f>IF(I562=ProdFam[[#Headers],[Test]],(VLOOKUP(Data[[#This Row],[Product Family]],ProdFam[],3,FALSE)),(VLOOKUP(Data[[#This Row],[Product Family]],ProdFam[],2,FALSE)))</f>
        <v>47</v>
      </c>
    </row>
    <row r="563" spans="2:15" x14ac:dyDescent="0.25">
      <c r="B563" s="1">
        <f>WEEKNUM(Data[[#This Row],[Date]],1)</f>
        <v>45</v>
      </c>
      <c r="C563" s="15">
        <f>YEAR(Data[[#This Row],[Date]])</f>
        <v>2019</v>
      </c>
      <c r="D563" s="5">
        <v>43776</v>
      </c>
      <c r="E563" s="1" t="s">
        <v>111</v>
      </c>
      <c r="F563" s="1">
        <v>29404</v>
      </c>
      <c r="G563" s="1" t="s">
        <v>62</v>
      </c>
      <c r="H563" s="1" t="s">
        <v>112</v>
      </c>
      <c r="I563" s="1" t="s">
        <v>1</v>
      </c>
      <c r="J563" s="1">
        <v>24</v>
      </c>
      <c r="K563" s="1">
        <f>J563*(IF(I563=ProdFam[[#Headers],[Test]],(VLOOKUP(Data[[#This Row],[Product Family]],ProdFam[],3,FALSE)),(VLOOKUP(Data[[#This Row],[Product Family]],ProdFam[],2,FALSE))))</f>
        <v>240</v>
      </c>
      <c r="L563" s="1">
        <v>210</v>
      </c>
      <c r="M563" s="1">
        <v>24</v>
      </c>
      <c r="N563" s="7">
        <f>IFERROR(Data[[#This Row],[Actual Time]]/Data[[#This Row],[QTY Complete]],"")</f>
        <v>8.75</v>
      </c>
      <c r="O563" s="7">
        <f>IF(I563=ProdFam[[#Headers],[Test]],(VLOOKUP(Data[[#This Row],[Product Family]],ProdFam[],3,FALSE)),(VLOOKUP(Data[[#This Row],[Product Family]],ProdFam[],2,FALSE)))</f>
        <v>10</v>
      </c>
    </row>
    <row r="564" spans="2:15" x14ac:dyDescent="0.25">
      <c r="B564" s="1">
        <f>WEEKNUM(Data[[#This Row],[Date]],1)</f>
        <v>45</v>
      </c>
      <c r="C564" s="15">
        <f>YEAR(Data[[#This Row],[Date]])</f>
        <v>2019</v>
      </c>
      <c r="D564" s="5">
        <v>43776</v>
      </c>
      <c r="E564" s="1" t="s">
        <v>111</v>
      </c>
      <c r="F564" s="1">
        <v>29543</v>
      </c>
      <c r="G564" s="1" t="s">
        <v>29</v>
      </c>
      <c r="H564" s="1" t="s">
        <v>113</v>
      </c>
      <c r="I564" s="1" t="s">
        <v>1</v>
      </c>
      <c r="J564" s="1">
        <v>6</v>
      </c>
      <c r="K564" s="1">
        <f>J564*(IF(I564=ProdFam[[#Headers],[Test]],(VLOOKUP(Data[[#This Row],[Product Family]],ProdFam[],3,FALSE)),(VLOOKUP(Data[[#This Row],[Product Family]],ProdFam[],2,FALSE))))</f>
        <v>192</v>
      </c>
      <c r="L564" s="1">
        <v>150</v>
      </c>
      <c r="M564" s="1">
        <v>6</v>
      </c>
      <c r="N564" s="7">
        <f>IFERROR(Data[[#This Row],[Actual Time]]/Data[[#This Row],[QTY Complete]],"")</f>
        <v>25</v>
      </c>
      <c r="O564" s="7">
        <f>IF(I564=ProdFam[[#Headers],[Test]],(VLOOKUP(Data[[#This Row],[Product Family]],ProdFam[],3,FALSE)),(VLOOKUP(Data[[#This Row],[Product Family]],ProdFam[],2,FALSE)))</f>
        <v>32</v>
      </c>
    </row>
    <row r="565" spans="2:15" x14ac:dyDescent="0.25">
      <c r="B565" s="1">
        <f>WEEKNUM(Data[[#This Row],[Date]],1)</f>
        <v>45</v>
      </c>
      <c r="C565" s="15">
        <f>YEAR(Data[[#This Row],[Date]])</f>
        <v>2019</v>
      </c>
      <c r="D565" s="5">
        <v>43776</v>
      </c>
      <c r="E565" s="1" t="s">
        <v>111</v>
      </c>
      <c r="F565" s="1">
        <v>29548</v>
      </c>
      <c r="G565" s="1" t="s">
        <v>27</v>
      </c>
      <c r="H565" s="1" t="s">
        <v>113</v>
      </c>
      <c r="I565" s="1" t="s">
        <v>1</v>
      </c>
      <c r="J565" s="1">
        <v>5</v>
      </c>
      <c r="K565" s="1">
        <f>J565*(IF(I565=ProdFam[[#Headers],[Test]],(VLOOKUP(Data[[#This Row],[Product Family]],ProdFam[],3,FALSE)),(VLOOKUP(Data[[#This Row],[Product Family]],ProdFam[],2,FALSE))))</f>
        <v>160</v>
      </c>
      <c r="L565" s="1">
        <v>60</v>
      </c>
      <c r="M565" s="1">
        <v>3</v>
      </c>
      <c r="N565" s="7">
        <f>IFERROR(Data[[#This Row],[Actual Time]]/Data[[#This Row],[QTY Complete]],"")</f>
        <v>20</v>
      </c>
      <c r="O565" s="7">
        <f>IF(I565=ProdFam[[#Headers],[Test]],(VLOOKUP(Data[[#This Row],[Product Family]],ProdFam[],3,FALSE)),(VLOOKUP(Data[[#This Row],[Product Family]],ProdFam[],2,FALSE)))</f>
        <v>32</v>
      </c>
    </row>
    <row r="566" spans="2:15" x14ac:dyDescent="0.25">
      <c r="B566" s="1">
        <f>WEEKNUM(Data[[#This Row],[Date]],1)</f>
        <v>45</v>
      </c>
      <c r="C566" s="15">
        <f>YEAR(Data[[#This Row],[Date]])</f>
        <v>2019</v>
      </c>
      <c r="D566" s="5">
        <v>43775</v>
      </c>
      <c r="E566" s="1" t="s">
        <v>111</v>
      </c>
      <c r="F566" s="1">
        <v>29789</v>
      </c>
      <c r="G566" s="1" t="s">
        <v>16</v>
      </c>
      <c r="H566" s="1" t="s">
        <v>113</v>
      </c>
      <c r="I566" s="1" t="s">
        <v>1</v>
      </c>
      <c r="J566" s="1">
        <v>6</v>
      </c>
      <c r="K566" s="1">
        <f>J566*(IF(I566=ProdFam[[#Headers],[Test]],(VLOOKUP(Data[[#This Row],[Product Family]],ProdFam[],3,FALSE)),(VLOOKUP(Data[[#This Row],[Product Family]],ProdFam[],2,FALSE))))</f>
        <v>192</v>
      </c>
      <c r="L566" s="1">
        <v>270</v>
      </c>
      <c r="M566" s="1">
        <v>6</v>
      </c>
      <c r="N566" s="7">
        <f>IFERROR(Data[[#This Row],[Actual Time]]/Data[[#This Row],[QTY Complete]],"")</f>
        <v>45</v>
      </c>
      <c r="O566" s="7">
        <f>IF(I566=ProdFam[[#Headers],[Test]],(VLOOKUP(Data[[#This Row],[Product Family]],ProdFam[],3,FALSE)),(VLOOKUP(Data[[#This Row],[Product Family]],ProdFam[],2,FALSE)))</f>
        <v>32</v>
      </c>
    </row>
    <row r="567" spans="2:15" x14ac:dyDescent="0.25">
      <c r="B567" s="1">
        <f>WEEKNUM(Data[[#This Row],[Date]],1)</f>
        <v>45</v>
      </c>
      <c r="C567" s="15">
        <f>YEAR(Data[[#This Row],[Date]])</f>
        <v>2019</v>
      </c>
      <c r="D567" s="5">
        <v>43775</v>
      </c>
      <c r="E567" s="1" t="s">
        <v>111</v>
      </c>
      <c r="F567" s="1">
        <v>29537</v>
      </c>
      <c r="G567" s="1" t="s">
        <v>68</v>
      </c>
      <c r="H567" s="1" t="s">
        <v>112</v>
      </c>
      <c r="I567" s="1" t="s">
        <v>1</v>
      </c>
      <c r="J567" s="1">
        <v>3</v>
      </c>
      <c r="K567" s="1">
        <f>J567*(IF(I567=ProdFam[[#Headers],[Test]],(VLOOKUP(Data[[#This Row],[Product Family]],ProdFam[],3,FALSE)),(VLOOKUP(Data[[#This Row],[Product Family]],ProdFam[],2,FALSE))))</f>
        <v>30</v>
      </c>
      <c r="L567" s="1">
        <v>30</v>
      </c>
      <c r="M567" s="1">
        <v>3</v>
      </c>
      <c r="N567" s="7">
        <f>IFERROR(Data[[#This Row],[Actual Time]]/Data[[#This Row],[QTY Complete]],"")</f>
        <v>10</v>
      </c>
      <c r="O567" s="7">
        <f>IF(I567=ProdFam[[#Headers],[Test]],(VLOOKUP(Data[[#This Row],[Product Family]],ProdFam[],3,FALSE)),(VLOOKUP(Data[[#This Row],[Product Family]],ProdFam[],2,FALSE)))</f>
        <v>10</v>
      </c>
    </row>
    <row r="568" spans="2:15" x14ac:dyDescent="0.25">
      <c r="B568" s="1">
        <f>WEEKNUM(Data[[#This Row],[Date]],1)</f>
        <v>45</v>
      </c>
      <c r="C568" s="15">
        <f>YEAR(Data[[#This Row],[Date]])</f>
        <v>2019</v>
      </c>
      <c r="D568" s="5">
        <v>43775</v>
      </c>
      <c r="E568" s="1" t="s">
        <v>111</v>
      </c>
      <c r="F568" s="1">
        <v>29412</v>
      </c>
      <c r="G568" s="1" t="s">
        <v>58</v>
      </c>
      <c r="H568" s="1" t="s">
        <v>112</v>
      </c>
      <c r="I568" s="1" t="s">
        <v>1</v>
      </c>
      <c r="J568" s="1">
        <v>21</v>
      </c>
      <c r="K568" s="1">
        <f>J568*(IF(I568=ProdFam[[#Headers],[Test]],(VLOOKUP(Data[[#This Row],[Product Family]],ProdFam[],3,FALSE)),(VLOOKUP(Data[[#This Row],[Product Family]],ProdFam[],2,FALSE))))</f>
        <v>210</v>
      </c>
      <c r="L568" s="1">
        <v>180</v>
      </c>
      <c r="M568" s="1">
        <v>21</v>
      </c>
      <c r="N568" s="7">
        <f>IFERROR(Data[[#This Row],[Actual Time]]/Data[[#This Row],[QTY Complete]],"")</f>
        <v>8.5714285714285712</v>
      </c>
      <c r="O568" s="7">
        <f>IF(I568=ProdFam[[#Headers],[Test]],(VLOOKUP(Data[[#This Row],[Product Family]],ProdFam[],3,FALSE)),(VLOOKUP(Data[[#This Row],[Product Family]],ProdFam[],2,FALSE)))</f>
        <v>10</v>
      </c>
    </row>
    <row r="569" spans="2:15" x14ac:dyDescent="0.25">
      <c r="B569" s="1">
        <f>WEEKNUM(Data[[#This Row],[Date]],1)</f>
        <v>45</v>
      </c>
      <c r="C569" s="15">
        <f>YEAR(Data[[#This Row],[Date]])</f>
        <v>2019</v>
      </c>
      <c r="D569" s="5">
        <v>43775</v>
      </c>
      <c r="E569" s="1" t="s">
        <v>111</v>
      </c>
      <c r="F569" s="1">
        <v>29395</v>
      </c>
      <c r="G569" s="1" t="s">
        <v>2</v>
      </c>
      <c r="H569" s="1" t="s">
        <v>112</v>
      </c>
      <c r="I569" s="1" t="s">
        <v>1</v>
      </c>
      <c r="J569" s="1">
        <v>9</v>
      </c>
      <c r="K569" s="1">
        <f>J569*(IF(I569=ProdFam[[#Headers],[Test]],(VLOOKUP(Data[[#This Row],[Product Family]],ProdFam[],3,FALSE)),(VLOOKUP(Data[[#This Row],[Product Family]],ProdFam[],2,FALSE))))</f>
        <v>90</v>
      </c>
      <c r="L569" s="1">
        <v>60</v>
      </c>
      <c r="M569" s="1">
        <v>9</v>
      </c>
      <c r="N569" s="7">
        <f>IFERROR(Data[[#This Row],[Actual Time]]/Data[[#This Row],[QTY Complete]],"")</f>
        <v>6.666666666666667</v>
      </c>
      <c r="O569" s="7">
        <f>IF(I569=ProdFam[[#Headers],[Test]],(VLOOKUP(Data[[#This Row],[Product Family]],ProdFam[],3,FALSE)),(VLOOKUP(Data[[#This Row],[Product Family]],ProdFam[],2,FALSE)))</f>
        <v>10</v>
      </c>
    </row>
    <row r="570" spans="2:15" x14ac:dyDescent="0.25">
      <c r="B570" s="1">
        <f>WEEKNUM(Data[[#This Row],[Date]],1)</f>
        <v>49</v>
      </c>
      <c r="C570" s="15">
        <f>YEAR(Data[[#This Row],[Date]])</f>
        <v>2019</v>
      </c>
      <c r="D570" s="5">
        <v>43805</v>
      </c>
      <c r="E570" s="1" t="s">
        <v>118</v>
      </c>
      <c r="F570" s="1">
        <v>29412</v>
      </c>
      <c r="G570" s="1" t="s">
        <v>58</v>
      </c>
      <c r="H570" s="1" t="s">
        <v>112</v>
      </c>
      <c r="I570" s="1" t="s">
        <v>0</v>
      </c>
      <c r="J570" s="1">
        <v>21</v>
      </c>
      <c r="K570" s="1">
        <f>J570*(IF(I570=ProdFam[[#Headers],[Test]],(VLOOKUP(Data[[#This Row],[Product Family]],ProdFam[],3,FALSE)),(VLOOKUP(Data[[#This Row],[Product Family]],ProdFam[],2,FALSE))))</f>
        <v>210</v>
      </c>
      <c r="L570" s="1">
        <v>78</v>
      </c>
      <c r="M570" s="1">
        <v>21</v>
      </c>
      <c r="N570" s="7">
        <f>IFERROR(Data[[#This Row],[Actual Time]]/Data[[#This Row],[QTY Complete]],"")</f>
        <v>3.7142857142857144</v>
      </c>
      <c r="O570" s="7">
        <f>IF(I570=ProdFam[[#Headers],[Test]],(VLOOKUP(Data[[#This Row],[Product Family]],ProdFam[],3,FALSE)),(VLOOKUP(Data[[#This Row],[Product Family]],ProdFam[],2,FALSE)))</f>
        <v>10</v>
      </c>
    </row>
    <row r="571" spans="2:15" x14ac:dyDescent="0.25">
      <c r="B571" s="1">
        <f>WEEKNUM(Data[[#This Row],[Date]],1)</f>
        <v>49</v>
      </c>
      <c r="C571" s="15">
        <f>YEAR(Data[[#This Row],[Date]])</f>
        <v>2019</v>
      </c>
      <c r="D571" s="5">
        <v>43805</v>
      </c>
      <c r="E571" s="1" t="s">
        <v>118</v>
      </c>
      <c r="F571" s="1">
        <v>29543</v>
      </c>
      <c r="G571" s="1" t="s">
        <v>29</v>
      </c>
      <c r="H571" s="1" t="s">
        <v>113</v>
      </c>
      <c r="I571" s="1" t="s">
        <v>0</v>
      </c>
      <c r="J571" s="1">
        <v>6</v>
      </c>
      <c r="K571" s="1">
        <f>J571*(IF(I571=ProdFam[[#Headers],[Test]],(VLOOKUP(Data[[#This Row],[Product Family]],ProdFam[],3,FALSE)),(VLOOKUP(Data[[#This Row],[Product Family]],ProdFam[],2,FALSE))))</f>
        <v>282</v>
      </c>
      <c r="L571" s="1">
        <v>30</v>
      </c>
      <c r="M571" s="1">
        <v>0</v>
      </c>
      <c r="N571" s="7" t="str">
        <f>IFERROR(Data[[#This Row],[Actual Time]]/Data[[#This Row],[QTY Complete]],"")</f>
        <v/>
      </c>
      <c r="O571" s="7">
        <f>IF(I571=ProdFam[[#Headers],[Test]],(VLOOKUP(Data[[#This Row],[Product Family]],ProdFam[],3,FALSE)),(VLOOKUP(Data[[#This Row],[Product Family]],ProdFam[],2,FALSE)))</f>
        <v>47</v>
      </c>
    </row>
    <row r="572" spans="2:15" x14ac:dyDescent="0.25">
      <c r="B572" s="1">
        <f>WEEKNUM(Data[[#This Row],[Date]],1)</f>
        <v>49</v>
      </c>
      <c r="C572" s="15">
        <f>YEAR(Data[[#This Row],[Date]])</f>
        <v>2019</v>
      </c>
      <c r="D572" s="5">
        <v>43805</v>
      </c>
      <c r="E572" s="1" t="s">
        <v>118</v>
      </c>
      <c r="F572" s="1">
        <v>29683</v>
      </c>
      <c r="G572" s="1" t="s">
        <v>3</v>
      </c>
      <c r="H572" s="1" t="s">
        <v>112</v>
      </c>
      <c r="I572" s="1" t="s">
        <v>0</v>
      </c>
      <c r="J572" s="1">
        <v>3</v>
      </c>
      <c r="K572" s="1">
        <f>J572*(IF(I572=ProdFam[[#Headers],[Test]],(VLOOKUP(Data[[#This Row],[Product Family]],ProdFam[],3,FALSE)),(VLOOKUP(Data[[#This Row],[Product Family]],ProdFam[],2,FALSE))))</f>
        <v>30</v>
      </c>
      <c r="L572" s="1">
        <v>24</v>
      </c>
      <c r="M572" s="1">
        <v>3</v>
      </c>
      <c r="N572" s="7">
        <f>IFERROR(Data[[#This Row],[Actual Time]]/Data[[#This Row],[QTY Complete]],"")</f>
        <v>8</v>
      </c>
      <c r="O572" s="7">
        <f>IF(I572=ProdFam[[#Headers],[Test]],(VLOOKUP(Data[[#This Row],[Product Family]],ProdFam[],3,FALSE)),(VLOOKUP(Data[[#This Row],[Product Family]],ProdFam[],2,FALSE)))</f>
        <v>10</v>
      </c>
    </row>
    <row r="573" spans="2:15" x14ac:dyDescent="0.25">
      <c r="B573" s="1">
        <f>WEEKNUM(Data[[#This Row],[Date]],1)</f>
        <v>49</v>
      </c>
      <c r="C573" s="15">
        <f>YEAR(Data[[#This Row],[Date]])</f>
        <v>2019</v>
      </c>
      <c r="D573" s="5">
        <v>43805</v>
      </c>
      <c r="E573" s="1" t="s">
        <v>118</v>
      </c>
      <c r="F573" s="1">
        <v>29543</v>
      </c>
      <c r="G573" s="1" t="s">
        <v>29</v>
      </c>
      <c r="H573" s="1" t="s">
        <v>113</v>
      </c>
      <c r="I573" s="1" t="s">
        <v>0</v>
      </c>
      <c r="J573" s="1">
        <v>6</v>
      </c>
      <c r="K573" s="1">
        <f>J573*(IF(I573=ProdFam[[#Headers],[Test]],(VLOOKUP(Data[[#This Row],[Product Family]],ProdFam[],3,FALSE)),(VLOOKUP(Data[[#This Row],[Product Family]],ProdFam[],2,FALSE))))</f>
        <v>282</v>
      </c>
      <c r="L573" s="1">
        <v>180</v>
      </c>
      <c r="M573" s="1">
        <v>6</v>
      </c>
      <c r="N573" s="7">
        <f>IFERROR(Data[[#This Row],[Actual Time]]/Data[[#This Row],[QTY Complete]],"")</f>
        <v>30</v>
      </c>
      <c r="O573" s="7">
        <f>IF(I573=ProdFam[[#Headers],[Test]],(VLOOKUP(Data[[#This Row],[Product Family]],ProdFam[],3,FALSE)),(VLOOKUP(Data[[#This Row],[Product Family]],ProdFam[],2,FALSE)))</f>
        <v>47</v>
      </c>
    </row>
    <row r="574" spans="2:15" x14ac:dyDescent="0.25">
      <c r="B574" s="1">
        <f>WEEKNUM(Data[[#This Row],[Date]],1)</f>
        <v>49</v>
      </c>
      <c r="C574" s="15">
        <f>YEAR(Data[[#This Row],[Date]])</f>
        <v>2019</v>
      </c>
      <c r="D574" s="5">
        <v>43805</v>
      </c>
      <c r="E574" s="1" t="s">
        <v>118</v>
      </c>
      <c r="F574" s="1">
        <v>29548</v>
      </c>
      <c r="G574" s="1" t="s">
        <v>27</v>
      </c>
      <c r="H574" s="1" t="s">
        <v>113</v>
      </c>
      <c r="I574" s="1" t="s">
        <v>0</v>
      </c>
      <c r="J574" s="1">
        <v>5</v>
      </c>
      <c r="K574" s="1">
        <f>J574*(IF(I574=ProdFam[[#Headers],[Test]],(VLOOKUP(Data[[#This Row],[Product Family]],ProdFam[],3,FALSE)),(VLOOKUP(Data[[#This Row],[Product Family]],ProdFam[],2,FALSE))))</f>
        <v>235</v>
      </c>
      <c r="L574" s="1">
        <v>113</v>
      </c>
      <c r="M574" s="1">
        <v>0</v>
      </c>
      <c r="N574" s="7" t="str">
        <f>IFERROR(Data[[#This Row],[Actual Time]]/Data[[#This Row],[QTY Complete]],"")</f>
        <v/>
      </c>
      <c r="O574" s="7">
        <f>IF(I574=ProdFam[[#Headers],[Test]],(VLOOKUP(Data[[#This Row],[Product Family]],ProdFam[],3,FALSE)),(VLOOKUP(Data[[#This Row],[Product Family]],ProdFam[],2,FALSE)))</f>
        <v>47</v>
      </c>
    </row>
    <row r="575" spans="2:15" x14ac:dyDescent="0.25">
      <c r="B575" s="1">
        <f>WEEKNUM(Data[[#This Row],[Date]],1)</f>
        <v>49</v>
      </c>
      <c r="C575" s="15">
        <f>YEAR(Data[[#This Row],[Date]])</f>
        <v>2019</v>
      </c>
      <c r="D575" s="5">
        <v>43806</v>
      </c>
      <c r="E575" s="1" t="s">
        <v>118</v>
      </c>
      <c r="F575" s="1">
        <v>29548</v>
      </c>
      <c r="G575" s="1" t="s">
        <v>27</v>
      </c>
      <c r="H575" s="1" t="s">
        <v>113</v>
      </c>
      <c r="I575" s="1" t="s">
        <v>0</v>
      </c>
      <c r="J575" s="1">
        <v>5</v>
      </c>
      <c r="K575" s="1">
        <f>J575*(IF(I575=ProdFam[[#Headers],[Test]],(VLOOKUP(Data[[#This Row],[Product Family]],ProdFam[],3,FALSE)),(VLOOKUP(Data[[#This Row],[Product Family]],ProdFam[],2,FALSE))))</f>
        <v>235</v>
      </c>
      <c r="L575" s="1">
        <v>122</v>
      </c>
      <c r="M575" s="1">
        <v>5</v>
      </c>
      <c r="N575" s="7">
        <f>IFERROR(Data[[#This Row],[Actual Time]]/Data[[#This Row],[QTY Complete]],"")</f>
        <v>24.4</v>
      </c>
      <c r="O575" s="7">
        <f>IF(I575=ProdFam[[#Headers],[Test]],(VLOOKUP(Data[[#This Row],[Product Family]],ProdFam[],3,FALSE)),(VLOOKUP(Data[[#This Row],[Product Family]],ProdFam[],2,FALSE)))</f>
        <v>47</v>
      </c>
    </row>
    <row r="576" spans="2:15" x14ac:dyDescent="0.25">
      <c r="B576" s="1">
        <f>WEEKNUM(Data[[#This Row],[Date]],1)</f>
        <v>49</v>
      </c>
      <c r="C576" s="15">
        <f>YEAR(Data[[#This Row],[Date]])</f>
        <v>2019</v>
      </c>
      <c r="D576" s="5">
        <v>43806</v>
      </c>
      <c r="E576" s="1" t="s">
        <v>118</v>
      </c>
      <c r="F576" s="1">
        <v>29745</v>
      </c>
      <c r="G576" s="1" t="s">
        <v>134</v>
      </c>
      <c r="H576" s="1" t="s">
        <v>129</v>
      </c>
      <c r="I576" s="1" t="s">
        <v>0</v>
      </c>
      <c r="J576" s="1">
        <v>1</v>
      </c>
      <c r="K576" s="1">
        <f>J576*(IF(I576=ProdFam[[#Headers],[Test]],(VLOOKUP(Data[[#This Row],[Product Family]],ProdFam[],3,FALSE)),(VLOOKUP(Data[[#This Row],[Product Family]],ProdFam[],2,FALSE))))</f>
        <v>18</v>
      </c>
      <c r="L576" s="1">
        <v>32</v>
      </c>
      <c r="M576" s="1">
        <v>1</v>
      </c>
      <c r="N576" s="7">
        <f>IFERROR(Data[[#This Row],[Actual Time]]/Data[[#This Row],[QTY Complete]],"")</f>
        <v>32</v>
      </c>
      <c r="O576" s="7">
        <f>IF(I576=ProdFam[[#Headers],[Test]],(VLOOKUP(Data[[#This Row],[Product Family]],ProdFam[],3,FALSE)),(VLOOKUP(Data[[#This Row],[Product Family]],ProdFam[],2,FALSE)))</f>
        <v>18</v>
      </c>
    </row>
    <row r="577" spans="2:15" x14ac:dyDescent="0.25">
      <c r="B577" s="1">
        <f>WEEKNUM(Data[[#This Row],[Date]],1)</f>
        <v>49</v>
      </c>
      <c r="C577" s="15">
        <f>YEAR(Data[[#This Row],[Date]])</f>
        <v>2019</v>
      </c>
      <c r="D577" s="5">
        <v>43806</v>
      </c>
      <c r="E577" s="1" t="s">
        <v>118</v>
      </c>
      <c r="F577" s="1">
        <v>29696</v>
      </c>
      <c r="G577" s="1" t="s">
        <v>134</v>
      </c>
      <c r="H577" s="1" t="s">
        <v>129</v>
      </c>
      <c r="I577" s="1" t="s">
        <v>0</v>
      </c>
      <c r="J577" s="1">
        <v>15</v>
      </c>
      <c r="K577" s="1">
        <f>J577*(IF(I577=ProdFam[[#Headers],[Test]],(VLOOKUP(Data[[#This Row],[Product Family]],ProdFam[],3,FALSE)),(VLOOKUP(Data[[#This Row],[Product Family]],ProdFam[],2,FALSE))))</f>
        <v>270</v>
      </c>
      <c r="L577" s="1">
        <v>300</v>
      </c>
      <c r="M577" s="1">
        <v>0</v>
      </c>
      <c r="N577" s="7" t="str">
        <f>IFERROR(Data[[#This Row],[Actual Time]]/Data[[#This Row],[QTY Complete]],"")</f>
        <v/>
      </c>
      <c r="O577" s="7">
        <f>IF(I577=ProdFam[[#Headers],[Test]],(VLOOKUP(Data[[#This Row],[Product Family]],ProdFam[],3,FALSE)),(VLOOKUP(Data[[#This Row],[Product Family]],ProdFam[],2,FALSE)))</f>
        <v>18</v>
      </c>
    </row>
    <row r="578" spans="2:15" x14ac:dyDescent="0.25">
      <c r="B578" s="1">
        <f>WEEKNUM(Data[[#This Row],[Date]],1)</f>
        <v>49</v>
      </c>
      <c r="C578" s="15">
        <f>YEAR(Data[[#This Row],[Date]])</f>
        <v>2019</v>
      </c>
      <c r="D578" s="5">
        <v>43806</v>
      </c>
      <c r="E578" s="1" t="s">
        <v>122</v>
      </c>
      <c r="F578" s="1">
        <v>29464</v>
      </c>
      <c r="G578" s="1" t="s">
        <v>135</v>
      </c>
      <c r="H578" s="1" t="s">
        <v>112</v>
      </c>
      <c r="I578" s="1" t="s">
        <v>0</v>
      </c>
      <c r="J578" s="1">
        <v>21</v>
      </c>
      <c r="K578" s="1">
        <f>J578*(IF(I578=ProdFam[[#Headers],[Test]],(VLOOKUP(Data[[#This Row],[Product Family]],ProdFam[],3,FALSE)),(VLOOKUP(Data[[#This Row],[Product Family]],ProdFam[],2,FALSE))))</f>
        <v>210</v>
      </c>
      <c r="L578" s="1">
        <v>255</v>
      </c>
      <c r="M578" s="1">
        <v>21</v>
      </c>
      <c r="N578" s="7">
        <f>IFERROR(Data[[#This Row],[Actual Time]]/Data[[#This Row],[QTY Complete]],"")</f>
        <v>12.142857142857142</v>
      </c>
      <c r="O578" s="7">
        <f>IF(I578=ProdFam[[#Headers],[Test]],(VLOOKUP(Data[[#This Row],[Product Family]],ProdFam[],3,FALSE)),(VLOOKUP(Data[[#This Row],[Product Family]],ProdFam[],2,FALSE)))</f>
        <v>10</v>
      </c>
    </row>
    <row r="579" spans="2:15" x14ac:dyDescent="0.25">
      <c r="B579" s="1">
        <f>WEEKNUM(Data[[#This Row],[Date]],1)</f>
        <v>49</v>
      </c>
      <c r="C579" s="15">
        <f>YEAR(Data[[#This Row],[Date]])</f>
        <v>2019</v>
      </c>
      <c r="D579" s="5">
        <v>43806</v>
      </c>
      <c r="E579" s="1" t="s">
        <v>122</v>
      </c>
      <c r="F579" s="1">
        <v>29684</v>
      </c>
      <c r="G579" s="1" t="s">
        <v>22</v>
      </c>
      <c r="H579" s="1" t="s">
        <v>112</v>
      </c>
      <c r="I579" s="1" t="s">
        <v>0</v>
      </c>
      <c r="J579" s="1">
        <v>15</v>
      </c>
      <c r="K579" s="1">
        <f>J579*(IF(I579=ProdFam[[#Headers],[Test]],(VLOOKUP(Data[[#This Row],[Product Family]],ProdFam[],3,FALSE)),(VLOOKUP(Data[[#This Row],[Product Family]],ProdFam[],2,FALSE))))</f>
        <v>150</v>
      </c>
      <c r="L579" s="1">
        <v>270</v>
      </c>
      <c r="M579" s="1">
        <v>15</v>
      </c>
      <c r="N579" s="7">
        <f>IFERROR(Data[[#This Row],[Actual Time]]/Data[[#This Row],[QTY Complete]],"")</f>
        <v>18</v>
      </c>
      <c r="O579" s="7">
        <f>IF(I579=ProdFam[[#Headers],[Test]],(VLOOKUP(Data[[#This Row],[Product Family]],ProdFam[],3,FALSE)),(VLOOKUP(Data[[#This Row],[Product Family]],ProdFam[],2,FALSE)))</f>
        <v>10</v>
      </c>
    </row>
    <row r="580" spans="2:15" x14ac:dyDescent="0.25">
      <c r="B580" s="1">
        <f>WEEKNUM(Data[[#This Row],[Date]],1)</f>
        <v>49</v>
      </c>
      <c r="C580" s="15">
        <f>YEAR(Data[[#This Row],[Date]])</f>
        <v>2019</v>
      </c>
      <c r="D580" s="5">
        <v>43805</v>
      </c>
      <c r="E580" s="1" t="s">
        <v>122</v>
      </c>
      <c r="F580" s="1">
        <v>29453</v>
      </c>
      <c r="G580" s="1" t="s">
        <v>84</v>
      </c>
      <c r="H580" s="1" t="s">
        <v>112</v>
      </c>
      <c r="I580" s="1" t="s">
        <v>0</v>
      </c>
      <c r="J580" s="1">
        <v>12</v>
      </c>
      <c r="K580" s="1">
        <f>J580*(IF(I580=ProdFam[[#Headers],[Test]],(VLOOKUP(Data[[#This Row],[Product Family]],ProdFam[],3,FALSE)),(VLOOKUP(Data[[#This Row],[Product Family]],ProdFam[],2,FALSE))))</f>
        <v>120</v>
      </c>
      <c r="L580" s="1">
        <v>60</v>
      </c>
      <c r="M580" s="1">
        <v>12</v>
      </c>
      <c r="N580" s="7">
        <f>IFERROR(Data[[#This Row],[Actual Time]]/Data[[#This Row],[QTY Complete]],"")</f>
        <v>5</v>
      </c>
      <c r="O580" s="7">
        <f>IF(I580=ProdFam[[#Headers],[Test]],(VLOOKUP(Data[[#This Row],[Product Family]],ProdFam[],3,FALSE)),(VLOOKUP(Data[[#This Row],[Product Family]],ProdFam[],2,FALSE)))</f>
        <v>10</v>
      </c>
    </row>
    <row r="581" spans="2:15" x14ac:dyDescent="0.25">
      <c r="B581" s="1">
        <f>WEEKNUM(Data[[#This Row],[Date]],1)</f>
        <v>49</v>
      </c>
      <c r="C581" s="15">
        <f>YEAR(Data[[#This Row],[Date]])</f>
        <v>2019</v>
      </c>
      <c r="D581" s="5">
        <v>43805</v>
      </c>
      <c r="E581" s="1" t="s">
        <v>122</v>
      </c>
      <c r="F581" s="1">
        <v>29537</v>
      </c>
      <c r="G581" s="1" t="s">
        <v>68</v>
      </c>
      <c r="H581" s="1" t="s">
        <v>112</v>
      </c>
      <c r="I581" s="1" t="s">
        <v>0</v>
      </c>
      <c r="J581" s="1">
        <v>3</v>
      </c>
      <c r="K581" s="1">
        <f>J581*(IF(I581=ProdFam[[#Headers],[Test]],(VLOOKUP(Data[[#This Row],[Product Family]],ProdFam[],3,FALSE)),(VLOOKUP(Data[[#This Row],[Product Family]],ProdFam[],2,FALSE))))</f>
        <v>30</v>
      </c>
      <c r="L581" s="1">
        <v>60</v>
      </c>
      <c r="M581" s="1">
        <v>3</v>
      </c>
      <c r="N581" s="7">
        <f>IFERROR(Data[[#This Row],[Actual Time]]/Data[[#This Row],[QTY Complete]],"")</f>
        <v>20</v>
      </c>
      <c r="O581" s="7">
        <f>IF(I581=ProdFam[[#Headers],[Test]],(VLOOKUP(Data[[#This Row],[Product Family]],ProdFam[],3,FALSE)),(VLOOKUP(Data[[#This Row],[Product Family]],ProdFam[],2,FALSE)))</f>
        <v>10</v>
      </c>
    </row>
    <row r="582" spans="2:15" x14ac:dyDescent="0.25">
      <c r="B582" s="1">
        <f>WEEKNUM(Data[[#This Row],[Date]],1)</f>
        <v>49</v>
      </c>
      <c r="C582" s="15">
        <f>YEAR(Data[[#This Row],[Date]])</f>
        <v>2019</v>
      </c>
      <c r="D582" s="5">
        <v>43805</v>
      </c>
      <c r="E582" s="1" t="s">
        <v>122</v>
      </c>
      <c r="F582" s="1">
        <v>29401</v>
      </c>
      <c r="G582" s="1" t="s">
        <v>79</v>
      </c>
      <c r="H582" s="1" t="s">
        <v>112</v>
      </c>
      <c r="I582" s="1" t="s">
        <v>0</v>
      </c>
      <c r="J582" s="1">
        <v>18</v>
      </c>
      <c r="K582" s="1">
        <f>J582*(IF(I582=ProdFam[[#Headers],[Test]],(VLOOKUP(Data[[#This Row],[Product Family]],ProdFam[],3,FALSE)),(VLOOKUP(Data[[#This Row],[Product Family]],ProdFam[],2,FALSE))))</f>
        <v>180</v>
      </c>
      <c r="L582" s="1">
        <v>180</v>
      </c>
      <c r="M582" s="1">
        <v>18</v>
      </c>
      <c r="N582" s="7">
        <f>IFERROR(Data[[#This Row],[Actual Time]]/Data[[#This Row],[QTY Complete]],"")</f>
        <v>10</v>
      </c>
      <c r="O582" s="7">
        <f>IF(I582=ProdFam[[#Headers],[Test]],(VLOOKUP(Data[[#This Row],[Product Family]],ProdFam[],3,FALSE)),(VLOOKUP(Data[[#This Row],[Product Family]],ProdFam[],2,FALSE)))</f>
        <v>10</v>
      </c>
    </row>
    <row r="583" spans="2:15" x14ac:dyDescent="0.25">
      <c r="B583" s="1">
        <f>WEEKNUM(Data[[#This Row],[Date]],1)</f>
        <v>49</v>
      </c>
      <c r="C583" s="15">
        <f>YEAR(Data[[#This Row],[Date]])</f>
        <v>2019</v>
      </c>
      <c r="D583" s="5">
        <v>43805</v>
      </c>
      <c r="E583" s="1" t="s">
        <v>122</v>
      </c>
      <c r="F583" s="1">
        <v>2968</v>
      </c>
      <c r="G583" s="1" t="s">
        <v>133</v>
      </c>
      <c r="H583" s="1" t="s">
        <v>112</v>
      </c>
      <c r="I583" s="1" t="s">
        <v>0</v>
      </c>
      <c r="J583" s="1">
        <v>15</v>
      </c>
      <c r="K583" s="1">
        <f>J583*(IF(I583=ProdFam[[#Headers],[Test]],(VLOOKUP(Data[[#This Row],[Product Family]],ProdFam[],3,FALSE)),(VLOOKUP(Data[[#This Row],[Product Family]],ProdFam[],2,FALSE))))</f>
        <v>150</v>
      </c>
      <c r="L583" s="1">
        <v>180</v>
      </c>
      <c r="M583" s="1">
        <v>15</v>
      </c>
      <c r="N583" s="7">
        <f>IFERROR(Data[[#This Row],[Actual Time]]/Data[[#This Row],[QTY Complete]],"")</f>
        <v>12</v>
      </c>
      <c r="O583" s="7">
        <f>IF(I583=ProdFam[[#Headers],[Test]],(VLOOKUP(Data[[#This Row],[Product Family]],ProdFam[],3,FALSE)),(VLOOKUP(Data[[#This Row],[Product Family]],ProdFam[],2,FALSE)))</f>
        <v>10</v>
      </c>
    </row>
    <row r="584" spans="2:15" x14ac:dyDescent="0.25">
      <c r="B584" s="1">
        <f>WEEKNUM(Data[[#This Row],[Date]],1)</f>
        <v>49</v>
      </c>
      <c r="C584" s="15">
        <f>YEAR(Data[[#This Row],[Date]])</f>
        <v>2019</v>
      </c>
      <c r="D584" s="5">
        <v>43805</v>
      </c>
      <c r="E584" s="1" t="s">
        <v>122</v>
      </c>
      <c r="F584" s="1">
        <v>29471</v>
      </c>
      <c r="G584" s="1" t="s">
        <v>49</v>
      </c>
      <c r="H584" s="1" t="s">
        <v>112</v>
      </c>
      <c r="I584" s="1" t="s">
        <v>0</v>
      </c>
      <c r="J584" s="1">
        <v>12</v>
      </c>
      <c r="K584" s="1">
        <f>J584*(IF(I584=ProdFam[[#Headers],[Test]],(VLOOKUP(Data[[#This Row],[Product Family]],ProdFam[],3,FALSE)),(VLOOKUP(Data[[#This Row],[Product Family]],ProdFam[],2,FALSE))))</f>
        <v>120</v>
      </c>
      <c r="L584" s="1">
        <v>75</v>
      </c>
      <c r="M584" s="1">
        <v>12</v>
      </c>
      <c r="N584" s="7">
        <f>IFERROR(Data[[#This Row],[Actual Time]]/Data[[#This Row],[QTY Complete]],"")</f>
        <v>6.25</v>
      </c>
      <c r="O584" s="7">
        <f>IF(I584=ProdFam[[#Headers],[Test]],(VLOOKUP(Data[[#This Row],[Product Family]],ProdFam[],3,FALSE)),(VLOOKUP(Data[[#This Row],[Product Family]],ProdFam[],2,FALSE)))</f>
        <v>10</v>
      </c>
    </row>
    <row r="585" spans="2:15" x14ac:dyDescent="0.25">
      <c r="B585" s="1">
        <f>WEEKNUM(Data[[#This Row],[Date]],1)</f>
        <v>49</v>
      </c>
      <c r="C585" s="15">
        <f>YEAR(Data[[#This Row],[Date]])</f>
        <v>2019</v>
      </c>
      <c r="D585" s="5">
        <v>43805</v>
      </c>
      <c r="E585" s="1" t="s">
        <v>122</v>
      </c>
      <c r="F585" s="1">
        <v>29464</v>
      </c>
      <c r="G585" s="1" t="s">
        <v>8</v>
      </c>
      <c r="H585" s="1" t="s">
        <v>112</v>
      </c>
      <c r="I585" s="1" t="s">
        <v>0</v>
      </c>
      <c r="J585" s="1">
        <v>21</v>
      </c>
      <c r="K585" s="1">
        <f>J585*(IF(I585=ProdFam[[#Headers],[Test]],(VLOOKUP(Data[[#This Row],[Product Family]],ProdFam[],3,FALSE)),(VLOOKUP(Data[[#This Row],[Product Family]],ProdFam[],2,FALSE))))</f>
        <v>210</v>
      </c>
      <c r="L585" s="1">
        <v>45</v>
      </c>
      <c r="M585" s="1">
        <v>0</v>
      </c>
      <c r="N585" s="7" t="str">
        <f>IFERROR(Data[[#This Row],[Actual Time]]/Data[[#This Row],[QTY Complete]],"")</f>
        <v/>
      </c>
      <c r="O585" s="7">
        <f>IF(I585=ProdFam[[#Headers],[Test]],(VLOOKUP(Data[[#This Row],[Product Family]],ProdFam[],3,FALSE)),(VLOOKUP(Data[[#This Row],[Product Family]],ProdFam[],2,FALSE)))</f>
        <v>10</v>
      </c>
    </row>
    <row r="586" spans="2:15" x14ac:dyDescent="0.25">
      <c r="B586" s="1">
        <f>WEEKNUM(Data[[#This Row],[Date]],1)</f>
        <v>49</v>
      </c>
      <c r="C586" s="15">
        <f>YEAR(Data[[#This Row],[Date]])</f>
        <v>2019</v>
      </c>
      <c r="D586" s="5">
        <v>43804</v>
      </c>
      <c r="E586" s="1" t="s">
        <v>119</v>
      </c>
      <c r="F586" s="1">
        <v>29690</v>
      </c>
      <c r="G586" s="1" t="s">
        <v>63</v>
      </c>
      <c r="H586" s="1" t="s">
        <v>115</v>
      </c>
      <c r="I586" s="1" t="s">
        <v>1</v>
      </c>
      <c r="J586" s="1">
        <v>25</v>
      </c>
      <c r="K586" s="1">
        <f>J586*(IF(I586=ProdFam[[#Headers],[Test]],(VLOOKUP(Data[[#This Row],[Product Family]],ProdFam[],3,FALSE)),(VLOOKUP(Data[[#This Row],[Product Family]],ProdFam[],2,FALSE))))</f>
        <v>600</v>
      </c>
      <c r="L586" s="1">
        <v>165</v>
      </c>
      <c r="M586" s="1">
        <v>25</v>
      </c>
      <c r="N586" s="7">
        <f>IFERROR(Data[[#This Row],[Actual Time]]/Data[[#This Row],[QTY Complete]],"")</f>
        <v>6.6</v>
      </c>
      <c r="O586" s="7">
        <f>IF(I586=ProdFam[[#Headers],[Test]],(VLOOKUP(Data[[#This Row],[Product Family]],ProdFam[],3,FALSE)),(VLOOKUP(Data[[#This Row],[Product Family]],ProdFam[],2,FALSE)))</f>
        <v>24</v>
      </c>
    </row>
    <row r="587" spans="2:15" x14ac:dyDescent="0.25">
      <c r="B587" s="1">
        <f>WEEKNUM(Data[[#This Row],[Date]],1)</f>
        <v>49</v>
      </c>
      <c r="C587" s="15">
        <f>YEAR(Data[[#This Row],[Date]])</f>
        <v>2019</v>
      </c>
      <c r="D587" s="5">
        <v>43804</v>
      </c>
      <c r="E587" s="1" t="s">
        <v>119</v>
      </c>
      <c r="F587" s="1">
        <v>29687</v>
      </c>
      <c r="G587" s="1" t="s">
        <v>63</v>
      </c>
      <c r="H587" s="1" t="s">
        <v>115</v>
      </c>
      <c r="I587" s="1" t="s">
        <v>1</v>
      </c>
      <c r="J587" s="1">
        <v>25</v>
      </c>
      <c r="K587" s="1">
        <f>J587*(IF(I587=ProdFam[[#Headers],[Test]],(VLOOKUP(Data[[#This Row],[Product Family]],ProdFam[],3,FALSE)),(VLOOKUP(Data[[#This Row],[Product Family]],ProdFam[],2,FALSE))))</f>
        <v>600</v>
      </c>
      <c r="L587" s="1">
        <v>360</v>
      </c>
      <c r="M587" s="1">
        <v>25</v>
      </c>
      <c r="N587" s="7">
        <f>IFERROR(Data[[#This Row],[Actual Time]]/Data[[#This Row],[QTY Complete]],"")</f>
        <v>14.4</v>
      </c>
      <c r="O587" s="7">
        <f>IF(I587=ProdFam[[#Headers],[Test]],(VLOOKUP(Data[[#This Row],[Product Family]],ProdFam[],3,FALSE)),(VLOOKUP(Data[[#This Row],[Product Family]],ProdFam[],2,FALSE)))</f>
        <v>24</v>
      </c>
    </row>
    <row r="588" spans="2:15" x14ac:dyDescent="0.25">
      <c r="C588" s="15">
        <f>YEAR(Data[[#This Row],[Date]])</f>
        <v>2019</v>
      </c>
      <c r="D588" s="5">
        <v>43804</v>
      </c>
      <c r="E588" s="1" t="s">
        <v>118</v>
      </c>
      <c r="F588" s="1">
        <v>29441</v>
      </c>
      <c r="G588" s="1" t="s">
        <v>40</v>
      </c>
      <c r="H588" s="1" t="s">
        <v>112</v>
      </c>
      <c r="I588" s="1" t="s">
        <v>0</v>
      </c>
      <c r="J588" s="1">
        <v>9</v>
      </c>
      <c r="K588" s="1">
        <f>J588*(IF(I588=ProdFam[[#Headers],[Test]],(VLOOKUP(Data[[#This Row],[Product Family]],ProdFam[],3,FALSE)),(VLOOKUP(Data[[#This Row],[Product Family]],ProdFam[],2,FALSE))))</f>
        <v>90</v>
      </c>
      <c r="L588" s="1">
        <v>65</v>
      </c>
      <c r="M588" s="1">
        <v>7</v>
      </c>
      <c r="N588" s="7">
        <f>IFERROR(Data[[#This Row],[Actual Time]]/Data[[#This Row],[QTY Complete]],"")</f>
        <v>9.2857142857142865</v>
      </c>
      <c r="O588" s="7">
        <f>IF(I588=ProdFam[[#Headers],[Test]],(VLOOKUP(Data[[#This Row],[Product Family]],ProdFam[],3,FALSE)),(VLOOKUP(Data[[#This Row],[Product Family]],ProdFam[],2,FALSE)))</f>
        <v>10</v>
      </c>
    </row>
    <row r="589" spans="2:15" x14ac:dyDescent="0.25">
      <c r="B589" s="1">
        <f>WEEKNUM(Data[[#This Row],[Date]],1)</f>
        <v>49</v>
      </c>
      <c r="C589" s="15">
        <f>YEAR(Data[[#This Row],[Date]])</f>
        <v>2019</v>
      </c>
      <c r="D589" s="5">
        <v>43804</v>
      </c>
      <c r="E589" s="1" t="s">
        <v>118</v>
      </c>
      <c r="F589" s="1">
        <v>29412</v>
      </c>
      <c r="G589" s="1" t="s">
        <v>58</v>
      </c>
      <c r="H589" s="1" t="s">
        <v>112</v>
      </c>
      <c r="I589" s="1" t="s">
        <v>0</v>
      </c>
      <c r="J589" s="1">
        <v>21</v>
      </c>
      <c r="K589" s="1">
        <f>J589*(IF(I589=ProdFam[[#Headers],[Test]],(VLOOKUP(Data[[#This Row],[Product Family]],ProdFam[],3,FALSE)),(VLOOKUP(Data[[#This Row],[Product Family]],ProdFam[],2,FALSE))))</f>
        <v>210</v>
      </c>
      <c r="L589" s="1">
        <v>15</v>
      </c>
      <c r="M589" s="1">
        <v>0</v>
      </c>
      <c r="N589" s="7" t="str">
        <f>IFERROR(Data[[#This Row],[Actual Time]]/Data[[#This Row],[QTY Complete]],"")</f>
        <v/>
      </c>
      <c r="O589" s="7">
        <f>IF(I589=ProdFam[[#Headers],[Test]],(VLOOKUP(Data[[#This Row],[Product Family]],ProdFam[],3,FALSE)),(VLOOKUP(Data[[#This Row],[Product Family]],ProdFam[],2,FALSE)))</f>
        <v>10</v>
      </c>
    </row>
    <row r="590" spans="2:15" x14ac:dyDescent="0.25">
      <c r="B590" s="1">
        <f>WEEKNUM(Data[[#This Row],[Date]],1)</f>
        <v>49</v>
      </c>
      <c r="C590" s="15">
        <f>YEAR(Data[[#This Row],[Date]])</f>
        <v>2019</v>
      </c>
      <c r="D590" s="5">
        <v>43804</v>
      </c>
      <c r="E590" s="1" t="s">
        <v>118</v>
      </c>
      <c r="F590" s="1">
        <v>29435</v>
      </c>
      <c r="G590" s="1" t="s">
        <v>6</v>
      </c>
      <c r="H590" s="1" t="s">
        <v>112</v>
      </c>
      <c r="I590" s="1" t="s">
        <v>0</v>
      </c>
      <c r="J590" s="1">
        <v>3</v>
      </c>
      <c r="K590" s="1">
        <f>J590*(IF(I590=ProdFam[[#Headers],[Test]],(VLOOKUP(Data[[#This Row],[Product Family]],ProdFam[],3,FALSE)),(VLOOKUP(Data[[#This Row],[Product Family]],ProdFam[],2,FALSE))))</f>
        <v>30</v>
      </c>
      <c r="L590" s="1">
        <v>22</v>
      </c>
      <c r="M590" s="1">
        <v>3</v>
      </c>
      <c r="N590" s="7">
        <f>IFERROR(Data[[#This Row],[Actual Time]]/Data[[#This Row],[QTY Complete]],"")</f>
        <v>7.333333333333333</v>
      </c>
      <c r="O590" s="7">
        <f>IF(I590=ProdFam[[#Headers],[Test]],(VLOOKUP(Data[[#This Row],[Product Family]],ProdFam[],3,FALSE)),(VLOOKUP(Data[[#This Row],[Product Family]],ProdFam[],2,FALSE)))</f>
        <v>10</v>
      </c>
    </row>
    <row r="591" spans="2:15" x14ac:dyDescent="0.25">
      <c r="B591" s="1">
        <f>WEEKNUM(Data[[#This Row],[Date]],1)</f>
        <v>49</v>
      </c>
      <c r="C591" s="15">
        <f>YEAR(Data[[#This Row],[Date]])</f>
        <v>2019</v>
      </c>
      <c r="D591" s="5">
        <v>43804</v>
      </c>
      <c r="E591" s="1" t="s">
        <v>118</v>
      </c>
      <c r="F591" s="1">
        <v>29443</v>
      </c>
      <c r="G591" s="1" t="s">
        <v>35</v>
      </c>
      <c r="H591" s="1" t="s">
        <v>112</v>
      </c>
      <c r="I591" s="1" t="s">
        <v>0</v>
      </c>
      <c r="J591" s="1">
        <v>3</v>
      </c>
      <c r="K591" s="1">
        <f>J591*(IF(I591=ProdFam[[#Headers],[Test]],(VLOOKUP(Data[[#This Row],[Product Family]],ProdFam[],3,FALSE)),(VLOOKUP(Data[[#This Row],[Product Family]],ProdFam[],2,FALSE))))</f>
        <v>30</v>
      </c>
      <c r="L591" s="1">
        <v>67</v>
      </c>
      <c r="M591" s="1">
        <v>3</v>
      </c>
      <c r="N591" s="7">
        <f>IFERROR(Data[[#This Row],[Actual Time]]/Data[[#This Row],[QTY Complete]],"")</f>
        <v>22.333333333333332</v>
      </c>
      <c r="O591" s="7">
        <f>IF(I591=ProdFam[[#Headers],[Test]],(VLOOKUP(Data[[#This Row],[Product Family]],ProdFam[],3,FALSE)),(VLOOKUP(Data[[#This Row],[Product Family]],ProdFam[],2,FALSE)))</f>
        <v>10</v>
      </c>
    </row>
    <row r="592" spans="2:15" x14ac:dyDescent="0.25">
      <c r="B592" s="1">
        <f>WEEKNUM(Data[[#This Row],[Date]],1)</f>
        <v>49</v>
      </c>
      <c r="C592" s="15">
        <f>YEAR(Data[[#This Row],[Date]])</f>
        <v>2019</v>
      </c>
      <c r="D592" s="5">
        <v>43804</v>
      </c>
      <c r="E592" s="1" t="s">
        <v>118</v>
      </c>
      <c r="F592" s="1">
        <v>29412</v>
      </c>
      <c r="G592" s="1" t="s">
        <v>58</v>
      </c>
      <c r="H592" s="1" t="s">
        <v>112</v>
      </c>
      <c r="I592" s="1" t="s">
        <v>0</v>
      </c>
      <c r="J592" s="1">
        <v>21</v>
      </c>
      <c r="K592" s="1">
        <f>J592*(IF(I592=ProdFam[[#Headers],[Test]],(VLOOKUP(Data[[#This Row],[Product Family]],ProdFam[],3,FALSE)),(VLOOKUP(Data[[#This Row],[Product Family]],ProdFam[],2,FALSE))))</f>
        <v>210</v>
      </c>
      <c r="L592" s="1">
        <v>188</v>
      </c>
      <c r="M592" s="1">
        <v>12</v>
      </c>
      <c r="N592" s="7">
        <f>IFERROR(Data[[#This Row],[Actual Time]]/Data[[#This Row],[QTY Complete]],"")</f>
        <v>15.666666666666666</v>
      </c>
      <c r="O592" s="7">
        <f>IF(I592=ProdFam[[#Headers],[Test]],(VLOOKUP(Data[[#This Row],[Product Family]],ProdFam[],3,FALSE)),(VLOOKUP(Data[[#This Row],[Product Family]],ProdFam[],2,FALSE)))</f>
        <v>10</v>
      </c>
    </row>
    <row r="593" spans="2:15" x14ac:dyDescent="0.25">
      <c r="B593" s="1">
        <f>WEEKNUM(Data[[#This Row],[Date]],1)</f>
        <v>49</v>
      </c>
      <c r="C593" s="15">
        <f>YEAR(Data[[#This Row],[Date]])</f>
        <v>2019</v>
      </c>
      <c r="D593" s="5">
        <v>43804</v>
      </c>
      <c r="E593" s="1" t="s">
        <v>122</v>
      </c>
      <c r="F593" s="1">
        <v>29436</v>
      </c>
      <c r="G593" s="1" t="s">
        <v>33</v>
      </c>
      <c r="H593" s="1" t="s">
        <v>123</v>
      </c>
      <c r="I593" s="1" t="s">
        <v>0</v>
      </c>
      <c r="J593" s="1">
        <v>8</v>
      </c>
      <c r="K593" s="1">
        <f>J593*(IF(I593=ProdFam[[#Headers],[Test]],(VLOOKUP(Data[[#This Row],[Product Family]],ProdFam[],3,FALSE)),(VLOOKUP(Data[[#This Row],[Product Family]],ProdFam[],2,FALSE))))</f>
        <v>720</v>
      </c>
      <c r="L593" s="1">
        <v>60</v>
      </c>
      <c r="M593" s="1">
        <v>8</v>
      </c>
      <c r="N593" s="7">
        <f>IFERROR(Data[[#This Row],[Actual Time]]/Data[[#This Row],[QTY Complete]],"")</f>
        <v>7.5</v>
      </c>
      <c r="O593" s="7">
        <f>IF(I593=ProdFam[[#Headers],[Test]],(VLOOKUP(Data[[#This Row],[Product Family]],ProdFam[],3,FALSE)),(VLOOKUP(Data[[#This Row],[Product Family]],ProdFam[],2,FALSE)))</f>
        <v>90</v>
      </c>
    </row>
    <row r="594" spans="2:15" x14ac:dyDescent="0.25">
      <c r="B594" s="1">
        <f>WEEKNUM(Data[[#This Row],[Date]],1)</f>
        <v>49</v>
      </c>
      <c r="C594" s="15">
        <f>YEAR(Data[[#This Row],[Date]])</f>
        <v>2019</v>
      </c>
      <c r="D594" s="5">
        <v>43804</v>
      </c>
      <c r="E594" s="1" t="s">
        <v>122</v>
      </c>
      <c r="F594" s="1">
        <v>294201</v>
      </c>
      <c r="G594" s="1" t="s">
        <v>5</v>
      </c>
      <c r="H594" s="1" t="s">
        <v>112</v>
      </c>
      <c r="I594" s="1" t="s">
        <v>0</v>
      </c>
      <c r="J594" s="1">
        <v>9</v>
      </c>
      <c r="K594" s="1">
        <f>J594*(IF(I594=ProdFam[[#Headers],[Test]],(VLOOKUP(Data[[#This Row],[Product Family]],ProdFam[],3,FALSE)),(VLOOKUP(Data[[#This Row],[Product Family]],ProdFam[],2,FALSE))))</f>
        <v>90</v>
      </c>
      <c r="L594" s="1">
        <v>120</v>
      </c>
      <c r="M594" s="1">
        <v>9</v>
      </c>
      <c r="N594" s="7">
        <f>IFERROR(Data[[#This Row],[Actual Time]]/Data[[#This Row],[QTY Complete]],"")</f>
        <v>13.333333333333334</v>
      </c>
      <c r="O594" s="7">
        <f>IF(I594=ProdFam[[#Headers],[Test]],(VLOOKUP(Data[[#This Row],[Product Family]],ProdFam[],3,FALSE)),(VLOOKUP(Data[[#This Row],[Product Family]],ProdFam[],2,FALSE)))</f>
        <v>10</v>
      </c>
    </row>
    <row r="595" spans="2:15" x14ac:dyDescent="0.25">
      <c r="B595" s="1">
        <f>WEEKNUM(Data[[#This Row],[Date]],1)</f>
        <v>49</v>
      </c>
      <c r="C595" s="15">
        <f>YEAR(Data[[#This Row],[Date]])</f>
        <v>2019</v>
      </c>
      <c r="D595" s="5">
        <v>43804</v>
      </c>
      <c r="E595" s="1" t="s">
        <v>122</v>
      </c>
      <c r="F595" s="1">
        <v>29402</v>
      </c>
      <c r="G595" s="1" t="s">
        <v>36</v>
      </c>
      <c r="H595" s="1" t="s">
        <v>112</v>
      </c>
      <c r="I595" s="1" t="s">
        <v>0</v>
      </c>
      <c r="J595" s="1">
        <v>6</v>
      </c>
      <c r="K595" s="1">
        <f>J595*(IF(I595=ProdFam[[#Headers],[Test]],(VLOOKUP(Data[[#This Row],[Product Family]],ProdFam[],3,FALSE)),(VLOOKUP(Data[[#This Row],[Product Family]],ProdFam[],2,FALSE))))</f>
        <v>60</v>
      </c>
      <c r="L595" s="1">
        <v>105</v>
      </c>
      <c r="M595" s="1">
        <v>6</v>
      </c>
      <c r="N595" s="7">
        <f>IFERROR(Data[[#This Row],[Actual Time]]/Data[[#This Row],[QTY Complete]],"")</f>
        <v>17.5</v>
      </c>
      <c r="O595" s="7">
        <f>IF(I595=ProdFam[[#Headers],[Test]],(VLOOKUP(Data[[#This Row],[Product Family]],ProdFam[],3,FALSE)),(VLOOKUP(Data[[#This Row],[Product Family]],ProdFam[],2,FALSE)))</f>
        <v>10</v>
      </c>
    </row>
    <row r="596" spans="2:15" x14ac:dyDescent="0.25">
      <c r="B596" s="1">
        <f>WEEKNUM(Data[[#This Row],[Date]],1)</f>
        <v>49</v>
      </c>
      <c r="C596" s="15">
        <f>YEAR(Data[[#This Row],[Date]])</f>
        <v>2019</v>
      </c>
      <c r="D596" s="5">
        <v>43804</v>
      </c>
      <c r="E596" s="1" t="s">
        <v>122</v>
      </c>
      <c r="F596" s="1">
        <v>29422</v>
      </c>
      <c r="G596" s="1" t="s">
        <v>48</v>
      </c>
      <c r="H596" s="1" t="s">
        <v>112</v>
      </c>
      <c r="I596" s="1" t="s">
        <v>0</v>
      </c>
      <c r="J596" s="1">
        <v>3</v>
      </c>
      <c r="K596" s="1">
        <f>J596*(IF(I596=ProdFam[[#Headers],[Test]],(VLOOKUP(Data[[#This Row],[Product Family]],ProdFam[],3,FALSE)),(VLOOKUP(Data[[#This Row],[Product Family]],ProdFam[],2,FALSE))))</f>
        <v>30</v>
      </c>
      <c r="L596" s="1">
        <v>90</v>
      </c>
      <c r="M596" s="1">
        <v>3</v>
      </c>
      <c r="N596" s="7">
        <f>IFERROR(Data[[#This Row],[Actual Time]]/Data[[#This Row],[QTY Complete]],"")</f>
        <v>30</v>
      </c>
      <c r="O596" s="7">
        <f>IF(I596=ProdFam[[#Headers],[Test]],(VLOOKUP(Data[[#This Row],[Product Family]],ProdFam[],3,FALSE)),(VLOOKUP(Data[[#This Row],[Product Family]],ProdFam[],2,FALSE)))</f>
        <v>10</v>
      </c>
    </row>
    <row r="597" spans="2:15" x14ac:dyDescent="0.25">
      <c r="B597" s="1">
        <f>WEEKNUM(Data[[#This Row],[Date]],1)</f>
        <v>49</v>
      </c>
      <c r="C597" s="15">
        <f>YEAR(Data[[#This Row],[Date]])</f>
        <v>2019</v>
      </c>
      <c r="D597" s="5">
        <v>43804</v>
      </c>
      <c r="E597" s="1" t="s">
        <v>122</v>
      </c>
      <c r="F597" s="1">
        <v>29524</v>
      </c>
      <c r="G597" s="1" t="s">
        <v>5</v>
      </c>
      <c r="H597" s="1" t="s">
        <v>112</v>
      </c>
      <c r="I597" s="1" t="s">
        <v>0</v>
      </c>
      <c r="J597" s="1">
        <v>9</v>
      </c>
      <c r="K597" s="1">
        <f>J597*(IF(I597=ProdFam[[#Headers],[Test]],(VLOOKUP(Data[[#This Row],[Product Family]],ProdFam[],3,FALSE)),(VLOOKUP(Data[[#This Row],[Product Family]],ProdFam[],2,FALSE))))</f>
        <v>90</v>
      </c>
      <c r="L597" s="1">
        <v>90</v>
      </c>
      <c r="M597" s="1">
        <v>9</v>
      </c>
      <c r="N597" s="7">
        <f>IFERROR(Data[[#This Row],[Actual Time]]/Data[[#This Row],[QTY Complete]],"")</f>
        <v>10</v>
      </c>
      <c r="O597" s="7">
        <f>IF(I597=ProdFam[[#Headers],[Test]],(VLOOKUP(Data[[#This Row],[Product Family]],ProdFam[],3,FALSE)),(VLOOKUP(Data[[#This Row],[Product Family]],ProdFam[],2,FALSE)))</f>
        <v>10</v>
      </c>
    </row>
    <row r="598" spans="2:15" x14ac:dyDescent="0.25">
      <c r="B598" s="1">
        <f>WEEKNUM(Data[[#This Row],[Date]],1)</f>
        <v>49</v>
      </c>
      <c r="C598" s="15">
        <f>YEAR(Data[[#This Row],[Date]])</f>
        <v>2019</v>
      </c>
      <c r="D598" s="5">
        <v>43804</v>
      </c>
      <c r="E598" s="1" t="s">
        <v>122</v>
      </c>
      <c r="F598" s="1">
        <v>29395</v>
      </c>
      <c r="G598" s="1" t="s">
        <v>2</v>
      </c>
      <c r="H598" s="1" t="s">
        <v>112</v>
      </c>
      <c r="I598" s="1" t="s">
        <v>0</v>
      </c>
      <c r="J598" s="1">
        <v>9</v>
      </c>
      <c r="K598" s="1">
        <f>J598*(IF(I598=ProdFam[[#Headers],[Test]],(VLOOKUP(Data[[#This Row],[Product Family]],ProdFam[],3,FALSE)),(VLOOKUP(Data[[#This Row],[Product Family]],ProdFam[],2,FALSE))))</f>
        <v>90</v>
      </c>
      <c r="L598" s="1">
        <v>60</v>
      </c>
      <c r="M598" s="1">
        <v>9</v>
      </c>
      <c r="N598" s="7">
        <f>IFERROR(Data[[#This Row],[Actual Time]]/Data[[#This Row],[QTY Complete]],"")</f>
        <v>6.666666666666667</v>
      </c>
      <c r="O598" s="7">
        <f>IF(I598=ProdFam[[#Headers],[Test]],(VLOOKUP(Data[[#This Row],[Product Family]],ProdFam[],3,FALSE)),(VLOOKUP(Data[[#This Row],[Product Family]],ProdFam[],2,FALSE)))</f>
        <v>10</v>
      </c>
    </row>
    <row r="599" spans="2:15" x14ac:dyDescent="0.25">
      <c r="B599" s="1">
        <f>WEEKNUM(Data[[#This Row],[Date]],1)</f>
        <v>49</v>
      </c>
      <c r="C599" s="15">
        <f>YEAR(Data[[#This Row],[Date]])</f>
        <v>2019</v>
      </c>
      <c r="D599" s="5">
        <v>43804</v>
      </c>
      <c r="E599" s="1" t="s">
        <v>122</v>
      </c>
      <c r="F599" s="1">
        <v>29453</v>
      </c>
      <c r="G599" s="1" t="s">
        <v>84</v>
      </c>
      <c r="H599" s="1" t="s">
        <v>112</v>
      </c>
      <c r="I599" s="1" t="s">
        <v>0</v>
      </c>
      <c r="J599" s="1">
        <v>12</v>
      </c>
      <c r="K599" s="1">
        <f>J599*(IF(I599=ProdFam[[#Headers],[Test]],(VLOOKUP(Data[[#This Row],[Product Family]],ProdFam[],3,FALSE)),(VLOOKUP(Data[[#This Row],[Product Family]],ProdFam[],2,FALSE))))</f>
        <v>120</v>
      </c>
      <c r="L599" s="1">
        <v>75</v>
      </c>
      <c r="M599" s="1">
        <v>0</v>
      </c>
      <c r="N599" s="7" t="str">
        <f>IFERROR(Data[[#This Row],[Actual Time]]/Data[[#This Row],[QTY Complete]],"")</f>
        <v/>
      </c>
      <c r="O599" s="7">
        <f>IF(I599=ProdFam[[#Headers],[Test]],(VLOOKUP(Data[[#This Row],[Product Family]],ProdFam[],3,FALSE)),(VLOOKUP(Data[[#This Row],[Product Family]],ProdFam[],2,FALSE)))</f>
        <v>10</v>
      </c>
    </row>
    <row r="600" spans="2:15" x14ac:dyDescent="0.25">
      <c r="B600" s="1">
        <f>WEEKNUM(Data[[#This Row],[Date]],1)</f>
        <v>49</v>
      </c>
      <c r="C600" s="15">
        <f>YEAR(Data[[#This Row],[Date]])</f>
        <v>2019</v>
      </c>
      <c r="D600" s="5">
        <v>43804</v>
      </c>
      <c r="E600" s="1" t="s">
        <v>131</v>
      </c>
      <c r="F600" s="1">
        <v>29789</v>
      </c>
      <c r="G600" s="1" t="s">
        <v>16</v>
      </c>
      <c r="H600" s="1" t="s">
        <v>113</v>
      </c>
      <c r="I600" s="1" t="s">
        <v>0</v>
      </c>
      <c r="J600" s="1">
        <v>6</v>
      </c>
      <c r="K600" s="1">
        <f>J600*(IF(I600=ProdFam[[#Headers],[Test]],(VLOOKUP(Data[[#This Row],[Product Family]],ProdFam[],3,FALSE)),(VLOOKUP(Data[[#This Row],[Product Family]],ProdFam[],2,FALSE))))</f>
        <v>282</v>
      </c>
      <c r="L600" s="1">
        <v>127</v>
      </c>
      <c r="M600" s="1">
        <v>6</v>
      </c>
      <c r="N600" s="7">
        <f>IFERROR(Data[[#This Row],[Actual Time]]/Data[[#This Row],[QTY Complete]],"")</f>
        <v>21.166666666666668</v>
      </c>
      <c r="O600" s="7">
        <f>IF(I600=ProdFam[[#Headers],[Test]],(VLOOKUP(Data[[#This Row],[Product Family]],ProdFam[],3,FALSE)),(VLOOKUP(Data[[#This Row],[Product Family]],ProdFam[],2,FALSE)))</f>
        <v>47</v>
      </c>
    </row>
    <row r="601" spans="2:15" x14ac:dyDescent="0.25">
      <c r="B601" s="1">
        <f>WEEKNUM(Data[[#This Row],[Date]],1)</f>
        <v>49</v>
      </c>
      <c r="C601" s="15">
        <f>YEAR(Data[[#This Row],[Date]])</f>
        <v>2019</v>
      </c>
      <c r="D601" s="5">
        <v>43804</v>
      </c>
      <c r="E601" s="1" t="s">
        <v>131</v>
      </c>
      <c r="F601" s="1">
        <v>29682</v>
      </c>
      <c r="G601" s="1" t="s">
        <v>94</v>
      </c>
      <c r="H601" s="1" t="s">
        <v>113</v>
      </c>
      <c r="I601" s="1" t="s">
        <v>0</v>
      </c>
      <c r="J601" s="1">
        <v>4</v>
      </c>
      <c r="K601" s="1">
        <f>J601*(IF(I601=ProdFam[[#Headers],[Test]],(VLOOKUP(Data[[#This Row],[Product Family]],ProdFam[],3,FALSE)),(VLOOKUP(Data[[#This Row],[Product Family]],ProdFam[],2,FALSE))))</f>
        <v>188</v>
      </c>
      <c r="L601" s="1">
        <v>318</v>
      </c>
      <c r="M601" s="1">
        <v>4</v>
      </c>
      <c r="N601" s="7">
        <f>IFERROR(Data[[#This Row],[Actual Time]]/Data[[#This Row],[QTY Complete]],"")</f>
        <v>79.5</v>
      </c>
      <c r="O601" s="7">
        <f>IF(I601=ProdFam[[#Headers],[Test]],(VLOOKUP(Data[[#This Row],[Product Family]],ProdFam[],3,FALSE)),(VLOOKUP(Data[[#This Row],[Product Family]],ProdFam[],2,FALSE)))</f>
        <v>47</v>
      </c>
    </row>
    <row r="602" spans="2:15" x14ac:dyDescent="0.25">
      <c r="B602" s="1">
        <f>WEEKNUM(Data[[#This Row],[Date]],1)</f>
        <v>49</v>
      </c>
      <c r="C602" s="15">
        <f>YEAR(Data[[#This Row],[Date]])</f>
        <v>2019</v>
      </c>
      <c r="D602" s="5">
        <v>43804</v>
      </c>
      <c r="E602" s="1" t="s">
        <v>131</v>
      </c>
      <c r="F602" s="1">
        <v>29526</v>
      </c>
      <c r="G602" s="1" t="s">
        <v>26</v>
      </c>
      <c r="H602" s="1" t="s">
        <v>113</v>
      </c>
      <c r="I602" s="1" t="s">
        <v>0</v>
      </c>
      <c r="J602" s="1">
        <v>10</v>
      </c>
      <c r="K602" s="1">
        <f>J602*(IF(I602=ProdFam[[#Headers],[Test]],(VLOOKUP(Data[[#This Row],[Product Family]],ProdFam[],3,FALSE)),(VLOOKUP(Data[[#This Row],[Product Family]],ProdFam[],2,FALSE))))</f>
        <v>470</v>
      </c>
      <c r="L602" s="1">
        <v>79</v>
      </c>
      <c r="M602" s="1">
        <v>0</v>
      </c>
      <c r="N602" s="7" t="str">
        <f>IFERROR(Data[[#This Row],[Actual Time]]/Data[[#This Row],[QTY Complete]],"")</f>
        <v/>
      </c>
      <c r="O602" s="7">
        <f>IF(I602=ProdFam[[#Headers],[Test]],(VLOOKUP(Data[[#This Row],[Product Family]],ProdFam[],3,FALSE)),(VLOOKUP(Data[[#This Row],[Product Family]],ProdFam[],2,FALSE)))</f>
        <v>47</v>
      </c>
    </row>
    <row r="603" spans="2:15" x14ac:dyDescent="0.25">
      <c r="B603" s="1">
        <f>WEEKNUM(Data[[#This Row],[Date]],1)</f>
        <v>49</v>
      </c>
      <c r="C603" s="15">
        <f>YEAR(Data[[#This Row],[Date]])</f>
        <v>2019</v>
      </c>
      <c r="D603" s="5">
        <v>43804</v>
      </c>
      <c r="E603" s="1" t="s">
        <v>111</v>
      </c>
      <c r="F603" s="1">
        <v>29441</v>
      </c>
      <c r="G603" s="1" t="s">
        <v>40</v>
      </c>
      <c r="H603" s="1" t="s">
        <v>113</v>
      </c>
      <c r="I603" s="1" t="s">
        <v>1</v>
      </c>
      <c r="J603" s="1">
        <v>9</v>
      </c>
      <c r="K603" s="1">
        <f>J603*(IF(I603=ProdFam[[#Headers],[Test]],(VLOOKUP(Data[[#This Row],[Product Family]],ProdFam[],3,FALSE)),(VLOOKUP(Data[[#This Row],[Product Family]],ProdFam[],2,FALSE))))</f>
        <v>288</v>
      </c>
      <c r="L603" s="1">
        <v>270</v>
      </c>
      <c r="M603" s="1">
        <v>9</v>
      </c>
      <c r="N603" s="7">
        <f>IFERROR(Data[[#This Row],[Actual Time]]/Data[[#This Row],[QTY Complete]],"")</f>
        <v>30</v>
      </c>
      <c r="O603" s="7">
        <f>IF(I603=ProdFam[[#Headers],[Test]],(VLOOKUP(Data[[#This Row],[Product Family]],ProdFam[],3,FALSE)),(VLOOKUP(Data[[#This Row],[Product Family]],ProdFam[],2,FALSE)))</f>
        <v>32</v>
      </c>
    </row>
    <row r="604" spans="2:15" x14ac:dyDescent="0.25">
      <c r="B604" s="1">
        <f>WEEKNUM(Data[[#This Row],[Date]],1)</f>
        <v>49</v>
      </c>
      <c r="C604" s="15">
        <f>YEAR(Data[[#This Row],[Date]])</f>
        <v>2019</v>
      </c>
      <c r="D604" s="5">
        <v>43804</v>
      </c>
      <c r="E604" s="1" t="s">
        <v>117</v>
      </c>
      <c r="F604" s="1">
        <v>29454</v>
      </c>
      <c r="G604" s="1" t="s">
        <v>136</v>
      </c>
      <c r="H604" s="1" t="s">
        <v>113</v>
      </c>
      <c r="I604" s="1" t="s">
        <v>1</v>
      </c>
      <c r="J604" s="1">
        <v>3</v>
      </c>
      <c r="K604" s="1">
        <f>J604*(IF(I604=ProdFam[[#Headers],[Test]],(VLOOKUP(Data[[#This Row],[Product Family]],ProdFam[],3,FALSE)),(VLOOKUP(Data[[#This Row],[Product Family]],ProdFam[],2,FALSE))))</f>
        <v>96</v>
      </c>
      <c r="L604" s="1">
        <v>75</v>
      </c>
      <c r="M604" s="1">
        <v>3</v>
      </c>
      <c r="N604" s="7">
        <f>IFERROR(Data[[#This Row],[Actual Time]]/Data[[#This Row],[QTY Complete]],"")</f>
        <v>25</v>
      </c>
      <c r="O604" s="7">
        <f>IF(I604=ProdFam[[#Headers],[Test]],(VLOOKUP(Data[[#This Row],[Product Family]],ProdFam[],3,FALSE)),(VLOOKUP(Data[[#This Row],[Product Family]],ProdFam[],2,FALSE)))</f>
        <v>32</v>
      </c>
    </row>
    <row r="605" spans="2:15" x14ac:dyDescent="0.25">
      <c r="B605" s="1">
        <f>WEEKNUM(Data[[#This Row],[Date]],1)</f>
        <v>49</v>
      </c>
      <c r="C605" s="15">
        <f>YEAR(Data[[#This Row],[Date]])</f>
        <v>2019</v>
      </c>
      <c r="D605" s="5">
        <v>43804</v>
      </c>
      <c r="E605" s="1" t="s">
        <v>117</v>
      </c>
      <c r="F605" s="1">
        <v>29443</v>
      </c>
      <c r="G605" s="1" t="s">
        <v>35</v>
      </c>
      <c r="H605" s="1" t="s">
        <v>112</v>
      </c>
      <c r="I605" s="1" t="s">
        <v>1</v>
      </c>
      <c r="J605" s="1">
        <v>3</v>
      </c>
      <c r="K605" s="1">
        <f>J605*(IF(I605=ProdFam[[#Headers],[Test]],(VLOOKUP(Data[[#This Row],[Product Family]],ProdFam[],3,FALSE)),(VLOOKUP(Data[[#This Row],[Product Family]],ProdFam[],2,FALSE))))</f>
        <v>30</v>
      </c>
      <c r="L605" s="1">
        <v>30</v>
      </c>
      <c r="M605" s="1">
        <v>3</v>
      </c>
      <c r="N605" s="7">
        <f>IFERROR(Data[[#This Row],[Actual Time]]/Data[[#This Row],[QTY Complete]],"")</f>
        <v>10</v>
      </c>
      <c r="O605" s="7">
        <f>IF(I605=ProdFam[[#Headers],[Test]],(VLOOKUP(Data[[#This Row],[Product Family]],ProdFam[],3,FALSE)),(VLOOKUP(Data[[#This Row],[Product Family]],ProdFam[],2,FALSE)))</f>
        <v>10</v>
      </c>
    </row>
    <row r="606" spans="2:15" x14ac:dyDescent="0.25">
      <c r="B606" s="1">
        <f>WEEKNUM(Data[[#This Row],[Date]],1)</f>
        <v>49</v>
      </c>
      <c r="C606" s="15">
        <f>YEAR(Data[[#This Row],[Date]])</f>
        <v>2019</v>
      </c>
      <c r="D606" s="5">
        <v>43804</v>
      </c>
      <c r="E606" s="1" t="s">
        <v>117</v>
      </c>
      <c r="F606" s="1">
        <v>29524</v>
      </c>
      <c r="G606" s="1" t="s">
        <v>5</v>
      </c>
      <c r="H606" s="1" t="s">
        <v>112</v>
      </c>
      <c r="I606" s="1" t="s">
        <v>1</v>
      </c>
      <c r="J606" s="1">
        <v>9</v>
      </c>
      <c r="K606" s="1">
        <f>J606*(IF(I606=ProdFam[[#Headers],[Test]],(VLOOKUP(Data[[#This Row],[Product Family]],ProdFam[],3,FALSE)),(VLOOKUP(Data[[#This Row],[Product Family]],ProdFam[],2,FALSE))))</f>
        <v>90</v>
      </c>
      <c r="L606" s="1">
        <v>55</v>
      </c>
      <c r="M606" s="1">
        <v>9</v>
      </c>
      <c r="N606" s="7">
        <f>IFERROR(Data[[#This Row],[Actual Time]]/Data[[#This Row],[QTY Complete]],"")</f>
        <v>6.1111111111111107</v>
      </c>
      <c r="O606" s="7">
        <f>IF(I606=ProdFam[[#Headers],[Test]],(VLOOKUP(Data[[#This Row],[Product Family]],ProdFam[],3,FALSE)),(VLOOKUP(Data[[#This Row],[Product Family]],ProdFam[],2,FALSE)))</f>
        <v>10</v>
      </c>
    </row>
    <row r="607" spans="2:15" x14ac:dyDescent="0.25">
      <c r="B607" s="1">
        <f>WEEKNUM(Data[[#This Row],[Date]],1)</f>
        <v>49</v>
      </c>
      <c r="C607" s="15">
        <f>YEAR(Data[[#This Row],[Date]])</f>
        <v>2019</v>
      </c>
      <c r="D607" s="5">
        <v>43804</v>
      </c>
      <c r="E607" s="1" t="s">
        <v>117</v>
      </c>
      <c r="F607" s="1">
        <v>29422</v>
      </c>
      <c r="G607" s="1" t="s">
        <v>48</v>
      </c>
      <c r="H607" s="1" t="s">
        <v>112</v>
      </c>
      <c r="I607" s="1" t="s">
        <v>1</v>
      </c>
      <c r="J607" s="1">
        <v>3</v>
      </c>
      <c r="K607" s="1">
        <f>J607*(IF(I607=ProdFam[[#Headers],[Test]],(VLOOKUP(Data[[#This Row],[Product Family]],ProdFam[],3,FALSE)),(VLOOKUP(Data[[#This Row],[Product Family]],ProdFam[],2,FALSE))))</f>
        <v>30</v>
      </c>
      <c r="L607" s="1">
        <v>45</v>
      </c>
      <c r="M607" s="1">
        <v>2</v>
      </c>
      <c r="N607" s="7">
        <f>IFERROR(Data[[#This Row],[Actual Time]]/Data[[#This Row],[QTY Complete]],"")</f>
        <v>22.5</v>
      </c>
      <c r="O607" s="7">
        <f>IF(I607=ProdFam[[#Headers],[Test]],(VLOOKUP(Data[[#This Row],[Product Family]],ProdFam[],3,FALSE)),(VLOOKUP(Data[[#This Row],[Product Family]],ProdFam[],2,FALSE)))</f>
        <v>10</v>
      </c>
    </row>
    <row r="608" spans="2:15" x14ac:dyDescent="0.25">
      <c r="B608" s="1">
        <f>WEEKNUM(Data[[#This Row],[Date]],1)</f>
        <v>49</v>
      </c>
      <c r="C608" s="15">
        <f>YEAR(Data[[#This Row],[Date]])</f>
        <v>2019</v>
      </c>
      <c r="D608" s="5">
        <v>43803</v>
      </c>
      <c r="E608" s="1" t="s">
        <v>119</v>
      </c>
      <c r="F608" s="1" t="s">
        <v>137</v>
      </c>
      <c r="G608" s="1" t="s">
        <v>63</v>
      </c>
      <c r="H608" s="1" t="s">
        <v>115</v>
      </c>
      <c r="I608" s="1" t="s">
        <v>1</v>
      </c>
      <c r="J608" s="1">
        <v>50</v>
      </c>
      <c r="K608" s="1">
        <f>J608*(IF(I608=ProdFam[[#Headers],[Test]],(VLOOKUP(Data[[#This Row],[Product Family]],ProdFam[],3,FALSE)),(VLOOKUP(Data[[#This Row],[Product Family]],ProdFam[],2,FALSE))))</f>
        <v>1200</v>
      </c>
      <c r="L608" s="1">
        <v>190</v>
      </c>
      <c r="M608" s="1">
        <v>50</v>
      </c>
      <c r="N608" s="7">
        <f>IFERROR(Data[[#This Row],[Actual Time]]/Data[[#This Row],[QTY Complete]],"")</f>
        <v>3.8</v>
      </c>
      <c r="O608" s="7">
        <f>IF(I608=ProdFam[[#Headers],[Test]],(VLOOKUP(Data[[#This Row],[Product Family]],ProdFam[],3,FALSE)),(VLOOKUP(Data[[#This Row],[Product Family]],ProdFam[],2,FALSE)))</f>
        <v>24</v>
      </c>
    </row>
    <row r="609" spans="2:15" x14ac:dyDescent="0.25">
      <c r="B609" s="1">
        <f>WEEKNUM(Data[[#This Row],[Date]],1)</f>
        <v>49</v>
      </c>
      <c r="C609" s="15">
        <f>YEAR(Data[[#This Row],[Date]])</f>
        <v>2019</v>
      </c>
      <c r="D609" s="5">
        <v>43803</v>
      </c>
      <c r="E609" s="1" t="s">
        <v>119</v>
      </c>
      <c r="F609" s="1">
        <v>29472</v>
      </c>
      <c r="G609" s="1" t="s">
        <v>138</v>
      </c>
      <c r="H609" s="1" t="s">
        <v>115</v>
      </c>
      <c r="I609" s="1" t="s">
        <v>1</v>
      </c>
      <c r="J609" s="1">
        <v>2</v>
      </c>
      <c r="K609" s="1">
        <f>J609*(IF(I609=ProdFam[[#Headers],[Test]],(VLOOKUP(Data[[#This Row],[Product Family]],ProdFam[],3,FALSE)),(VLOOKUP(Data[[#This Row],[Product Family]],ProdFam[],2,FALSE))))</f>
        <v>48</v>
      </c>
      <c r="L609" s="1">
        <v>20</v>
      </c>
      <c r="M609" s="1">
        <v>2</v>
      </c>
      <c r="N609" s="7">
        <f>IFERROR(Data[[#This Row],[Actual Time]]/Data[[#This Row],[QTY Complete]],"")</f>
        <v>10</v>
      </c>
      <c r="O609" s="7">
        <f>IF(I609=ProdFam[[#Headers],[Test]],(VLOOKUP(Data[[#This Row],[Product Family]],ProdFam[],3,FALSE)),(VLOOKUP(Data[[#This Row],[Product Family]],ProdFam[],2,FALSE)))</f>
        <v>24</v>
      </c>
    </row>
    <row r="610" spans="2:15" x14ac:dyDescent="0.25">
      <c r="B610" s="1">
        <f>WEEKNUM(Data[[#This Row],[Date]],1)</f>
        <v>49</v>
      </c>
      <c r="C610" s="15">
        <f>YEAR(Data[[#This Row],[Date]])</f>
        <v>2019</v>
      </c>
      <c r="D610" s="5">
        <v>43803</v>
      </c>
      <c r="E610" s="1" t="s">
        <v>119</v>
      </c>
      <c r="F610" s="1">
        <v>29413</v>
      </c>
      <c r="G610" s="1" t="s">
        <v>139</v>
      </c>
      <c r="H610" s="1" t="s">
        <v>115</v>
      </c>
      <c r="I610" s="1" t="s">
        <v>1</v>
      </c>
      <c r="J610" s="1">
        <v>1</v>
      </c>
      <c r="K610" s="1">
        <f>J610*(IF(I610=ProdFam[[#Headers],[Test]],(VLOOKUP(Data[[#This Row],[Product Family]],ProdFam[],3,FALSE)),(VLOOKUP(Data[[#This Row],[Product Family]],ProdFam[],2,FALSE))))</f>
        <v>24</v>
      </c>
      <c r="L610" s="1">
        <v>20</v>
      </c>
      <c r="M610" s="1">
        <v>1</v>
      </c>
      <c r="N610" s="7">
        <f>IFERROR(Data[[#This Row],[Actual Time]]/Data[[#This Row],[QTY Complete]],"")</f>
        <v>20</v>
      </c>
      <c r="O610" s="7">
        <f>IF(I610=ProdFam[[#Headers],[Test]],(VLOOKUP(Data[[#This Row],[Product Family]],ProdFam[],3,FALSE)),(VLOOKUP(Data[[#This Row],[Product Family]],ProdFam[],2,FALSE)))</f>
        <v>24</v>
      </c>
    </row>
    <row r="611" spans="2:15" x14ac:dyDescent="0.25">
      <c r="B611" s="1">
        <f>WEEKNUM(Data[[#This Row],[Date]],1)</f>
        <v>49</v>
      </c>
      <c r="C611" s="15">
        <f>YEAR(Data[[#This Row],[Date]])</f>
        <v>2019</v>
      </c>
      <c r="D611" s="5">
        <v>43803</v>
      </c>
      <c r="E611" s="1" t="s">
        <v>119</v>
      </c>
      <c r="F611" s="1">
        <v>29451</v>
      </c>
      <c r="G611" s="1" t="s">
        <v>18</v>
      </c>
      <c r="H611" s="1" t="s">
        <v>115</v>
      </c>
      <c r="I611" s="1" t="s">
        <v>1</v>
      </c>
      <c r="J611" s="1">
        <v>10</v>
      </c>
      <c r="K611" s="1">
        <f>J611*(IF(I611=ProdFam[[#Headers],[Test]],(VLOOKUP(Data[[#This Row],[Product Family]],ProdFam[],3,FALSE)),(VLOOKUP(Data[[#This Row],[Product Family]],ProdFam[],2,FALSE))))</f>
        <v>240</v>
      </c>
      <c r="L611" s="1">
        <v>130</v>
      </c>
      <c r="M611" s="1">
        <v>10</v>
      </c>
      <c r="N611" s="7">
        <f>IFERROR(Data[[#This Row],[Actual Time]]/Data[[#This Row],[QTY Complete]],"")</f>
        <v>13</v>
      </c>
      <c r="O611" s="7">
        <f>IF(I611=ProdFam[[#Headers],[Test]],(VLOOKUP(Data[[#This Row],[Product Family]],ProdFam[],3,FALSE)),(VLOOKUP(Data[[#This Row],[Product Family]],ProdFam[],2,FALSE)))</f>
        <v>24</v>
      </c>
    </row>
    <row r="612" spans="2:15" x14ac:dyDescent="0.25">
      <c r="B612" s="1">
        <f>WEEKNUM(Data[[#This Row],[Date]],1)</f>
        <v>49</v>
      </c>
      <c r="C612" s="15">
        <f>YEAR(Data[[#This Row],[Date]])</f>
        <v>2019</v>
      </c>
      <c r="D612" s="5">
        <v>43803</v>
      </c>
      <c r="E612" s="1" t="s">
        <v>119</v>
      </c>
      <c r="F612" s="1">
        <v>29690</v>
      </c>
      <c r="G612" s="1" t="s">
        <v>63</v>
      </c>
      <c r="H612" s="1" t="s">
        <v>115</v>
      </c>
      <c r="I612" s="1" t="s">
        <v>1</v>
      </c>
      <c r="J612" s="1">
        <v>25</v>
      </c>
      <c r="K612" s="1">
        <f>J612*(IF(I612=ProdFam[[#Headers],[Test]],(VLOOKUP(Data[[#This Row],[Product Family]],ProdFam[],3,FALSE)),(VLOOKUP(Data[[#This Row],[Product Family]],ProdFam[],2,FALSE))))</f>
        <v>600</v>
      </c>
      <c r="L612" s="1">
        <v>115</v>
      </c>
      <c r="M612" s="1">
        <v>0</v>
      </c>
      <c r="N612" s="7" t="str">
        <f>IFERROR(Data[[#This Row],[Actual Time]]/Data[[#This Row],[QTY Complete]],"")</f>
        <v/>
      </c>
      <c r="O612" s="7">
        <f>IF(I612=ProdFam[[#Headers],[Test]],(VLOOKUP(Data[[#This Row],[Product Family]],ProdFam[],3,FALSE)),(VLOOKUP(Data[[#This Row],[Product Family]],ProdFam[],2,FALSE)))</f>
        <v>24</v>
      </c>
    </row>
    <row r="613" spans="2:15" x14ac:dyDescent="0.25">
      <c r="B613" s="1">
        <f>WEEKNUM(Data[[#This Row],[Date]],1)</f>
        <v>49</v>
      </c>
      <c r="C613" s="15">
        <f>YEAR(Data[[#This Row],[Date]])</f>
        <v>2019</v>
      </c>
      <c r="D613" s="5">
        <v>43803</v>
      </c>
      <c r="E613" s="1" t="s">
        <v>131</v>
      </c>
      <c r="F613" s="1">
        <v>29457</v>
      </c>
      <c r="G613" s="1" t="s">
        <v>25</v>
      </c>
      <c r="H613" s="1" t="s">
        <v>113</v>
      </c>
      <c r="I613" s="1" t="s">
        <v>0</v>
      </c>
      <c r="J613" s="1">
        <v>10</v>
      </c>
      <c r="K613" s="1">
        <f>J613*(IF(I613=ProdFam[[#Headers],[Test]],(VLOOKUP(Data[[#This Row],[Product Family]],ProdFam[],3,FALSE)),(VLOOKUP(Data[[#This Row],[Product Family]],ProdFam[],2,FALSE))))</f>
        <v>470</v>
      </c>
      <c r="L613" s="1">
        <v>249</v>
      </c>
      <c r="M613" s="1">
        <v>10</v>
      </c>
      <c r="N613" s="7">
        <f>IFERROR(Data[[#This Row],[Actual Time]]/Data[[#This Row],[QTY Complete]],"")</f>
        <v>24.9</v>
      </c>
      <c r="O613" s="7">
        <f>IF(I613=ProdFam[[#Headers],[Test]],(VLOOKUP(Data[[#This Row],[Product Family]],ProdFam[],3,FALSE)),(VLOOKUP(Data[[#This Row],[Product Family]],ProdFam[],2,FALSE)))</f>
        <v>47</v>
      </c>
    </row>
    <row r="614" spans="2:15" x14ac:dyDescent="0.25">
      <c r="B614" s="1">
        <f>WEEKNUM(Data[[#This Row],[Date]],1)</f>
        <v>49</v>
      </c>
      <c r="C614" s="15">
        <f>YEAR(Data[[#This Row],[Date]])</f>
        <v>2019</v>
      </c>
      <c r="D614" s="5">
        <v>43803</v>
      </c>
      <c r="E614" s="1" t="s">
        <v>131</v>
      </c>
      <c r="F614" s="1">
        <v>29454</v>
      </c>
      <c r="G614" s="1" t="s">
        <v>136</v>
      </c>
      <c r="H614" s="1" t="s">
        <v>113</v>
      </c>
      <c r="I614" s="1" t="s">
        <v>0</v>
      </c>
      <c r="J614" s="1">
        <v>3</v>
      </c>
      <c r="K614" s="1">
        <f>J614*(IF(I614=ProdFam[[#Headers],[Test]],(VLOOKUP(Data[[#This Row],[Product Family]],ProdFam[],3,FALSE)),(VLOOKUP(Data[[#This Row],[Product Family]],ProdFam[],2,FALSE))))</f>
        <v>141</v>
      </c>
      <c r="L614" s="1">
        <v>219</v>
      </c>
      <c r="M614" s="1">
        <v>3</v>
      </c>
      <c r="N614" s="7">
        <f>IFERROR(Data[[#This Row],[Actual Time]]/Data[[#This Row],[QTY Complete]],"")</f>
        <v>73</v>
      </c>
      <c r="O614" s="7">
        <f>IF(I614=ProdFam[[#Headers],[Test]],(VLOOKUP(Data[[#This Row],[Product Family]],ProdFam[],3,FALSE)),(VLOOKUP(Data[[#This Row],[Product Family]],ProdFam[],2,FALSE)))</f>
        <v>47</v>
      </c>
    </row>
    <row r="615" spans="2:15" x14ac:dyDescent="0.25">
      <c r="B615" s="1">
        <f>WEEKNUM(Data[[#This Row],[Date]],1)</f>
        <v>49</v>
      </c>
      <c r="C615" s="15">
        <f>YEAR(Data[[#This Row],[Date]])</f>
        <v>2019</v>
      </c>
      <c r="D615" s="5">
        <v>43803</v>
      </c>
      <c r="E615" s="1" t="s">
        <v>131</v>
      </c>
      <c r="F615" s="1">
        <v>29789</v>
      </c>
      <c r="G615" s="1" t="s">
        <v>16</v>
      </c>
      <c r="H615" s="1" t="s">
        <v>113</v>
      </c>
      <c r="I615" s="1" t="s">
        <v>0</v>
      </c>
      <c r="J615" s="1">
        <v>6</v>
      </c>
      <c r="K615" s="1">
        <f>J615*(IF(I615=ProdFam[[#Headers],[Test]],(VLOOKUP(Data[[#This Row],[Product Family]],ProdFam[],3,FALSE)),(VLOOKUP(Data[[#This Row],[Product Family]],ProdFam[],2,FALSE))))</f>
        <v>282</v>
      </c>
      <c r="L615" s="1">
        <v>94</v>
      </c>
      <c r="M615" s="1">
        <v>0</v>
      </c>
      <c r="N615" s="7" t="str">
        <f>IFERROR(Data[[#This Row],[Actual Time]]/Data[[#This Row],[QTY Complete]],"")</f>
        <v/>
      </c>
      <c r="O615" s="7">
        <f>IF(I615=ProdFam[[#Headers],[Test]],(VLOOKUP(Data[[#This Row],[Product Family]],ProdFam[],3,FALSE)),(VLOOKUP(Data[[#This Row],[Product Family]],ProdFam[],2,FALSE)))</f>
        <v>47</v>
      </c>
    </row>
    <row r="616" spans="2:15" x14ac:dyDescent="0.25">
      <c r="B616" s="1">
        <f>WEEKNUM(Data[[#This Row],[Date]],1)</f>
        <v>49</v>
      </c>
      <c r="C616" s="15">
        <f>YEAR(Data[[#This Row],[Date]])</f>
        <v>2019</v>
      </c>
      <c r="D616" s="5">
        <v>43803</v>
      </c>
      <c r="E616" s="1" t="s">
        <v>118</v>
      </c>
      <c r="F616" s="1">
        <v>29473</v>
      </c>
      <c r="G616" s="1" t="s">
        <v>140</v>
      </c>
      <c r="H616" s="1" t="s">
        <v>129</v>
      </c>
      <c r="I616" s="1" t="s">
        <v>0</v>
      </c>
      <c r="J616" s="1">
        <v>2</v>
      </c>
      <c r="K616" s="1">
        <f>J616*(IF(I616=ProdFam[[#Headers],[Test]],(VLOOKUP(Data[[#This Row],[Product Family]],ProdFam[],3,FALSE)),(VLOOKUP(Data[[#This Row],[Product Family]],ProdFam[],2,FALSE))))</f>
        <v>36</v>
      </c>
      <c r="L616" s="1">
        <v>14</v>
      </c>
      <c r="M616" s="1">
        <v>2</v>
      </c>
      <c r="N616" s="7">
        <f>IFERROR(Data[[#This Row],[Actual Time]]/Data[[#This Row],[QTY Complete]],"")</f>
        <v>7</v>
      </c>
      <c r="O616" s="7">
        <f>IF(I616=ProdFam[[#Headers],[Test]],(VLOOKUP(Data[[#This Row],[Product Family]],ProdFam[],3,FALSE)),(VLOOKUP(Data[[#This Row],[Product Family]],ProdFam[],2,FALSE)))</f>
        <v>18</v>
      </c>
    </row>
    <row r="617" spans="2:15" x14ac:dyDescent="0.25">
      <c r="B617" s="1">
        <f>WEEKNUM(Data[[#This Row],[Date]],1)</f>
        <v>49</v>
      </c>
      <c r="C617" s="15">
        <f>YEAR(Data[[#This Row],[Date]])</f>
        <v>2019</v>
      </c>
      <c r="D617" s="5">
        <v>43803</v>
      </c>
      <c r="E617" s="1" t="s">
        <v>118</v>
      </c>
      <c r="F617" s="1">
        <v>29750</v>
      </c>
      <c r="G617" s="1" t="s">
        <v>141</v>
      </c>
      <c r="H617" s="1" t="s">
        <v>129</v>
      </c>
      <c r="I617" s="1" t="s">
        <v>0</v>
      </c>
      <c r="J617" s="1">
        <v>3</v>
      </c>
      <c r="K617" s="1">
        <f>J617*(IF(I617=ProdFam[[#Headers],[Test]],(VLOOKUP(Data[[#This Row],[Product Family]],ProdFam[],3,FALSE)),(VLOOKUP(Data[[#This Row],[Product Family]],ProdFam[],2,FALSE))))</f>
        <v>54</v>
      </c>
      <c r="L617" s="1">
        <v>95</v>
      </c>
      <c r="M617" s="1">
        <v>3</v>
      </c>
      <c r="N617" s="7">
        <f>IFERROR(Data[[#This Row],[Actual Time]]/Data[[#This Row],[QTY Complete]],"")</f>
        <v>31.666666666666668</v>
      </c>
      <c r="O617" s="7">
        <f>IF(I617=ProdFam[[#Headers],[Test]],(VLOOKUP(Data[[#This Row],[Product Family]],ProdFam[],3,FALSE)),(VLOOKUP(Data[[#This Row],[Product Family]],ProdFam[],2,FALSE)))</f>
        <v>18</v>
      </c>
    </row>
    <row r="618" spans="2:15" x14ac:dyDescent="0.25">
      <c r="B618" s="1">
        <f>WEEKNUM(Data[[#This Row],[Date]],1)</f>
        <v>49</v>
      </c>
      <c r="C618" s="15">
        <f>YEAR(Data[[#This Row],[Date]])</f>
        <v>2019</v>
      </c>
      <c r="D618" s="5">
        <v>43803</v>
      </c>
      <c r="E618" s="1" t="s">
        <v>118</v>
      </c>
      <c r="F618" s="1">
        <v>29941</v>
      </c>
      <c r="G618" s="1" t="s">
        <v>40</v>
      </c>
      <c r="H618" s="1" t="s">
        <v>113</v>
      </c>
      <c r="I618" s="1" t="s">
        <v>0</v>
      </c>
      <c r="J618" s="1">
        <v>9</v>
      </c>
      <c r="K618" s="1">
        <f>J618*(IF(I618=ProdFam[[#Headers],[Test]],(VLOOKUP(Data[[#This Row],[Product Family]],ProdFam[],3,FALSE)),(VLOOKUP(Data[[#This Row],[Product Family]],ProdFam[],2,FALSE))))</f>
        <v>423</v>
      </c>
      <c r="L618" s="1">
        <v>225</v>
      </c>
      <c r="M618" s="1">
        <v>2</v>
      </c>
      <c r="N618" s="7">
        <f>IFERROR(Data[[#This Row],[Actual Time]]/Data[[#This Row],[QTY Complete]],"")</f>
        <v>112.5</v>
      </c>
      <c r="O618" s="7">
        <f>IF(I618=ProdFam[[#Headers],[Test]],(VLOOKUP(Data[[#This Row],[Product Family]],ProdFam[],3,FALSE)),(VLOOKUP(Data[[#This Row],[Product Family]],ProdFam[],2,FALSE)))</f>
        <v>47</v>
      </c>
    </row>
    <row r="619" spans="2:15" x14ac:dyDescent="0.25">
      <c r="B619" s="1">
        <f>WEEKNUM(Data[[#This Row],[Date]],1)</f>
        <v>49</v>
      </c>
      <c r="C619" s="15">
        <f>YEAR(Data[[#This Row],[Date]])</f>
        <v>2019</v>
      </c>
      <c r="D619" s="5">
        <v>43803</v>
      </c>
      <c r="E619" s="1" t="s">
        <v>122</v>
      </c>
      <c r="F619" s="1">
        <v>29436</v>
      </c>
      <c r="G619" s="1" t="s">
        <v>33</v>
      </c>
      <c r="H619" s="1" t="s">
        <v>123</v>
      </c>
      <c r="I619" s="1" t="s">
        <v>0</v>
      </c>
      <c r="J619" s="1">
        <v>8</v>
      </c>
      <c r="K619" s="1">
        <f>J619*(IF(I619=ProdFam[[#Headers],[Test]],(VLOOKUP(Data[[#This Row],[Product Family]],ProdFam[],3,FALSE)),(VLOOKUP(Data[[#This Row],[Product Family]],ProdFam[],2,FALSE))))</f>
        <v>720</v>
      </c>
      <c r="L619" s="1">
        <v>630</v>
      </c>
      <c r="M619" s="1">
        <v>0</v>
      </c>
      <c r="N619" s="7" t="str">
        <f>IFERROR(Data[[#This Row],[Actual Time]]/Data[[#This Row],[QTY Complete]],"")</f>
        <v/>
      </c>
      <c r="O619" s="7">
        <f>IF(I619=ProdFam[[#Headers],[Test]],(VLOOKUP(Data[[#This Row],[Product Family]],ProdFam[],3,FALSE)),(VLOOKUP(Data[[#This Row],[Product Family]],ProdFam[],2,FALSE)))</f>
        <v>90</v>
      </c>
    </row>
    <row r="620" spans="2:15" x14ac:dyDescent="0.25">
      <c r="B620" s="1">
        <f>WEEKNUM(Data[[#This Row],[Date]],1)</f>
        <v>49</v>
      </c>
      <c r="C620" s="15">
        <f>YEAR(Data[[#This Row],[Date]])</f>
        <v>2019</v>
      </c>
      <c r="D620" s="5">
        <v>43803</v>
      </c>
      <c r="E620" s="1" t="s">
        <v>111</v>
      </c>
      <c r="F620" s="1">
        <v>29456</v>
      </c>
      <c r="G620" s="1" t="s">
        <v>16</v>
      </c>
      <c r="H620" s="1" t="s">
        <v>113</v>
      </c>
      <c r="I620" s="1" t="s">
        <v>1</v>
      </c>
      <c r="J620" s="1">
        <v>8</v>
      </c>
      <c r="K620" s="1">
        <f>J620*(IF(I620=ProdFam[[#Headers],[Test]],(VLOOKUP(Data[[#This Row],[Product Family]],ProdFam[],3,FALSE)),(VLOOKUP(Data[[#This Row],[Product Family]],ProdFam[],2,FALSE))))</f>
        <v>256</v>
      </c>
      <c r="L620" s="1">
        <v>180</v>
      </c>
      <c r="M620" s="1">
        <v>8</v>
      </c>
      <c r="N620" s="7">
        <f>IFERROR(Data[[#This Row],[Actual Time]]/Data[[#This Row],[QTY Complete]],"")</f>
        <v>22.5</v>
      </c>
      <c r="O620" s="7">
        <f>IF(I620=ProdFam[[#Headers],[Test]],(VLOOKUP(Data[[#This Row],[Product Family]],ProdFam[],3,FALSE)),(VLOOKUP(Data[[#This Row],[Product Family]],ProdFam[],2,FALSE)))</f>
        <v>32</v>
      </c>
    </row>
    <row r="621" spans="2:15" x14ac:dyDescent="0.25">
      <c r="B621" s="1">
        <f>WEEKNUM(Data[[#This Row],[Date]],1)</f>
        <v>49</v>
      </c>
      <c r="C621" s="15">
        <f>YEAR(Data[[#This Row],[Date]])</f>
        <v>2019</v>
      </c>
      <c r="D621" s="5">
        <v>43803</v>
      </c>
      <c r="E621" s="1" t="s">
        <v>111</v>
      </c>
      <c r="F621" s="1">
        <v>29457</v>
      </c>
      <c r="G621" s="1" t="s">
        <v>25</v>
      </c>
      <c r="H621" s="1" t="s">
        <v>113</v>
      </c>
      <c r="I621" s="1" t="s">
        <v>1</v>
      </c>
      <c r="J621" s="1">
        <v>10</v>
      </c>
      <c r="K621" s="1">
        <f>J621*(IF(I621=ProdFam[[#Headers],[Test]],(VLOOKUP(Data[[#This Row],[Product Family]],ProdFam[],3,FALSE)),(VLOOKUP(Data[[#This Row],[Product Family]],ProdFam[],2,FALSE))))</f>
        <v>320</v>
      </c>
      <c r="L621" s="1">
        <v>255</v>
      </c>
      <c r="M621" s="1">
        <v>10</v>
      </c>
      <c r="N621" s="7">
        <f>IFERROR(Data[[#This Row],[Actual Time]]/Data[[#This Row],[QTY Complete]],"")</f>
        <v>25.5</v>
      </c>
      <c r="O621" s="7">
        <f>IF(I621=ProdFam[[#Headers],[Test]],(VLOOKUP(Data[[#This Row],[Product Family]],ProdFam[],3,FALSE)),(VLOOKUP(Data[[#This Row],[Product Family]],ProdFam[],2,FALSE)))</f>
        <v>32</v>
      </c>
    </row>
    <row r="622" spans="2:15" x14ac:dyDescent="0.25">
      <c r="B622" s="1">
        <f>WEEKNUM(Data[[#This Row],[Date]],1)</f>
        <v>49</v>
      </c>
      <c r="C622" s="15">
        <f>YEAR(Data[[#This Row],[Date]])</f>
        <v>2019</v>
      </c>
      <c r="D622" s="5">
        <v>43803</v>
      </c>
      <c r="E622" s="1" t="s">
        <v>117</v>
      </c>
      <c r="F622" s="1">
        <v>29438</v>
      </c>
      <c r="G622" s="1" t="s">
        <v>16</v>
      </c>
      <c r="H622" s="1" t="s">
        <v>113</v>
      </c>
      <c r="I622" s="1" t="s">
        <v>1</v>
      </c>
      <c r="J622" s="1">
        <v>10</v>
      </c>
      <c r="K622" s="1">
        <f>J622*(IF(I622=ProdFam[[#Headers],[Test]],(VLOOKUP(Data[[#This Row],[Product Family]],ProdFam[],3,FALSE)),(VLOOKUP(Data[[#This Row],[Product Family]],ProdFam[],2,FALSE))))</f>
        <v>320</v>
      </c>
      <c r="L622" s="1">
        <v>140</v>
      </c>
      <c r="M622" s="1">
        <v>5</v>
      </c>
      <c r="N622" s="7">
        <f>IFERROR(Data[[#This Row],[Actual Time]]/Data[[#This Row],[QTY Complete]],"")</f>
        <v>28</v>
      </c>
      <c r="O622" s="7">
        <f>IF(I622=ProdFam[[#Headers],[Test]],(VLOOKUP(Data[[#This Row],[Product Family]],ProdFam[],3,FALSE)),(VLOOKUP(Data[[#This Row],[Product Family]],ProdFam[],2,FALSE)))</f>
        <v>32</v>
      </c>
    </row>
    <row r="623" spans="2:15" x14ac:dyDescent="0.25">
      <c r="B623" s="1">
        <f>WEEKNUM(Data[[#This Row],[Date]],1)</f>
        <v>49</v>
      </c>
      <c r="C623" s="15">
        <f>YEAR(Data[[#This Row],[Date]])</f>
        <v>2019</v>
      </c>
      <c r="D623" s="5">
        <v>43803</v>
      </c>
      <c r="E623" s="1" t="s">
        <v>117</v>
      </c>
      <c r="F623" s="1">
        <v>29414</v>
      </c>
      <c r="G623" s="1" t="s">
        <v>28</v>
      </c>
      <c r="H623" s="1" t="s">
        <v>113</v>
      </c>
      <c r="I623" s="1" t="s">
        <v>1</v>
      </c>
      <c r="J623" s="1">
        <v>8</v>
      </c>
      <c r="K623" s="1">
        <f>J623*(IF(I623=ProdFam[[#Headers],[Test]],(VLOOKUP(Data[[#This Row],[Product Family]],ProdFam[],3,FALSE)),(VLOOKUP(Data[[#This Row],[Product Family]],ProdFam[],2,FALSE))))</f>
        <v>256</v>
      </c>
      <c r="L623" s="1">
        <v>105</v>
      </c>
      <c r="M623" s="1">
        <v>1</v>
      </c>
      <c r="N623" s="7">
        <f>IFERROR(Data[[#This Row],[Actual Time]]/Data[[#This Row],[QTY Complete]],"")</f>
        <v>105</v>
      </c>
      <c r="O623" s="7">
        <f>IF(I623=ProdFam[[#Headers],[Test]],(VLOOKUP(Data[[#This Row],[Product Family]],ProdFam[],3,FALSE)),(VLOOKUP(Data[[#This Row],[Product Family]],ProdFam[],2,FALSE)))</f>
        <v>32</v>
      </c>
    </row>
    <row r="624" spans="2:15" x14ac:dyDescent="0.25">
      <c r="B624" s="1">
        <f>WEEKNUM(Data[[#This Row],[Date]],1)</f>
        <v>49</v>
      </c>
      <c r="C624" s="15">
        <f>YEAR(Data[[#This Row],[Date]])</f>
        <v>2019</v>
      </c>
      <c r="D624" s="5">
        <v>43803</v>
      </c>
      <c r="E624" s="1" t="s">
        <v>117</v>
      </c>
      <c r="F624" s="1">
        <v>29454</v>
      </c>
      <c r="G624" s="1" t="s">
        <v>136</v>
      </c>
      <c r="H624" s="1" t="s">
        <v>113</v>
      </c>
      <c r="I624" s="1" t="s">
        <v>1</v>
      </c>
      <c r="J624" s="1">
        <v>3</v>
      </c>
      <c r="K624" s="1">
        <f>J624*(IF(I624=ProdFam[[#Headers],[Test]],(VLOOKUP(Data[[#This Row],[Product Family]],ProdFam[],3,FALSE)),(VLOOKUP(Data[[#This Row],[Product Family]],ProdFam[],2,FALSE))))</f>
        <v>96</v>
      </c>
      <c r="L624" s="1">
        <v>50</v>
      </c>
      <c r="M624" s="1">
        <v>0</v>
      </c>
      <c r="N624" s="7" t="str">
        <f>IFERROR(Data[[#This Row],[Actual Time]]/Data[[#This Row],[QTY Complete]],"")</f>
        <v/>
      </c>
      <c r="O624" s="7">
        <f>IF(I624=ProdFam[[#Headers],[Test]],(VLOOKUP(Data[[#This Row],[Product Family]],ProdFam[],3,FALSE)),(VLOOKUP(Data[[#This Row],[Product Family]],ProdFam[],2,FALSE)))</f>
        <v>32</v>
      </c>
    </row>
    <row r="625" spans="2:15" x14ac:dyDescent="0.25">
      <c r="B625" s="1">
        <f>WEEKNUM(Data[[#This Row],[Date]],1)</f>
        <v>49</v>
      </c>
      <c r="C625" s="15">
        <f>YEAR(Data[[#This Row],[Date]])</f>
        <v>2019</v>
      </c>
      <c r="D625" s="5">
        <v>43802</v>
      </c>
      <c r="E625" s="1" t="s">
        <v>117</v>
      </c>
      <c r="F625" s="1">
        <v>29417</v>
      </c>
      <c r="G625" s="1" t="s">
        <v>16</v>
      </c>
      <c r="H625" s="1" t="s">
        <v>113</v>
      </c>
      <c r="I625" s="1" t="s">
        <v>1</v>
      </c>
      <c r="J625" s="1">
        <v>10</v>
      </c>
      <c r="K625" s="1">
        <f>J625*(IF(I625=ProdFam[[#Headers],[Test]],(VLOOKUP(Data[[#This Row],[Product Family]],ProdFam[],3,FALSE)),(VLOOKUP(Data[[#This Row],[Product Family]],ProdFam[],2,FALSE))))</f>
        <v>320</v>
      </c>
      <c r="L625" s="1">
        <v>15</v>
      </c>
      <c r="M625" s="1">
        <v>0</v>
      </c>
      <c r="N625" s="7" t="str">
        <f>IFERROR(Data[[#This Row],[Actual Time]]/Data[[#This Row],[QTY Complete]],"")</f>
        <v/>
      </c>
      <c r="O625" s="7">
        <f>IF(I625=ProdFam[[#Headers],[Test]],(VLOOKUP(Data[[#This Row],[Product Family]],ProdFam[],3,FALSE)),(VLOOKUP(Data[[#This Row],[Product Family]],ProdFam[],2,FALSE)))</f>
        <v>32</v>
      </c>
    </row>
    <row r="626" spans="2:15" x14ac:dyDescent="0.25">
      <c r="B626" s="1">
        <f>WEEKNUM(Data[[#This Row],[Date]],1)</f>
        <v>49</v>
      </c>
      <c r="C626" s="15">
        <f>YEAR(Data[[#This Row],[Date]])</f>
        <v>2019</v>
      </c>
      <c r="D626" s="5">
        <v>43802</v>
      </c>
      <c r="E626" s="1" t="s">
        <v>117</v>
      </c>
      <c r="F626" s="1">
        <v>29417</v>
      </c>
      <c r="G626" s="1" t="s">
        <v>16</v>
      </c>
      <c r="H626" s="1" t="s">
        <v>113</v>
      </c>
      <c r="I626" s="1" t="s">
        <v>1</v>
      </c>
      <c r="J626" s="1">
        <v>10</v>
      </c>
      <c r="K626" s="1">
        <f>J626*(IF(I626=ProdFam[[#Headers],[Test]],(VLOOKUP(Data[[#This Row],[Product Family]],ProdFam[],3,FALSE)),(VLOOKUP(Data[[#This Row],[Product Family]],ProdFam[],2,FALSE))))</f>
        <v>320</v>
      </c>
      <c r="L626" s="1">
        <v>90</v>
      </c>
      <c r="M626" s="1">
        <v>10</v>
      </c>
      <c r="N626" s="7">
        <f>IFERROR(Data[[#This Row],[Actual Time]]/Data[[#This Row],[QTY Complete]],"")</f>
        <v>9</v>
      </c>
      <c r="O626" s="7">
        <f>IF(I626=ProdFam[[#Headers],[Test]],(VLOOKUP(Data[[#This Row],[Product Family]],ProdFam[],3,FALSE)),(VLOOKUP(Data[[#This Row],[Product Family]],ProdFam[],2,FALSE)))</f>
        <v>32</v>
      </c>
    </row>
    <row r="627" spans="2:15" x14ac:dyDescent="0.25">
      <c r="B627" s="1">
        <f>WEEKNUM(Data[[#This Row],[Date]],1)</f>
        <v>49</v>
      </c>
      <c r="C627" s="15">
        <f>YEAR(Data[[#This Row],[Date]])</f>
        <v>2019</v>
      </c>
      <c r="D627" s="5">
        <v>43802</v>
      </c>
      <c r="E627" s="1" t="s">
        <v>117</v>
      </c>
      <c r="F627" s="1">
        <v>29432</v>
      </c>
      <c r="G627" s="1" t="s">
        <v>11</v>
      </c>
      <c r="H627" s="1" t="s">
        <v>113</v>
      </c>
      <c r="I627" s="1" t="s">
        <v>1</v>
      </c>
      <c r="J627" s="1">
        <v>4</v>
      </c>
      <c r="K627" s="1">
        <f>J627*(IF(I627=ProdFam[[#Headers],[Test]],(VLOOKUP(Data[[#This Row],[Product Family]],ProdFam[],3,FALSE)),(VLOOKUP(Data[[#This Row],[Product Family]],ProdFam[],2,FALSE))))</f>
        <v>128</v>
      </c>
      <c r="L627" s="1">
        <v>80</v>
      </c>
      <c r="M627" s="1">
        <v>4</v>
      </c>
      <c r="N627" s="7">
        <f>IFERROR(Data[[#This Row],[Actual Time]]/Data[[#This Row],[QTY Complete]],"")</f>
        <v>20</v>
      </c>
      <c r="O627" s="7">
        <f>IF(I627=ProdFam[[#Headers],[Test]],(VLOOKUP(Data[[#This Row],[Product Family]],ProdFam[],3,FALSE)),(VLOOKUP(Data[[#This Row],[Product Family]],ProdFam[],2,FALSE)))</f>
        <v>32</v>
      </c>
    </row>
    <row r="628" spans="2:15" x14ac:dyDescent="0.25">
      <c r="B628" s="1">
        <f>WEEKNUM(Data[[#This Row],[Date]],1)</f>
        <v>49</v>
      </c>
      <c r="C628" s="15">
        <f>YEAR(Data[[#This Row],[Date]])</f>
        <v>2019</v>
      </c>
      <c r="D628" s="5">
        <v>43802</v>
      </c>
      <c r="E628" s="1" t="s">
        <v>117</v>
      </c>
      <c r="F628" s="1">
        <v>29414</v>
      </c>
      <c r="G628" s="1" t="s">
        <v>28</v>
      </c>
      <c r="H628" s="1" t="s">
        <v>113</v>
      </c>
      <c r="I628" s="1" t="s">
        <v>1</v>
      </c>
      <c r="J628" s="1">
        <v>8</v>
      </c>
      <c r="K628" s="1">
        <f>J628*(IF(I628=ProdFam[[#Headers],[Test]],(VLOOKUP(Data[[#This Row],[Product Family]],ProdFam[],3,FALSE)),(VLOOKUP(Data[[#This Row],[Product Family]],ProdFam[],2,FALSE))))</f>
        <v>256</v>
      </c>
      <c r="L628" s="1">
        <v>10</v>
      </c>
      <c r="M628" s="1">
        <v>8</v>
      </c>
      <c r="N628" s="7">
        <f>IFERROR(Data[[#This Row],[Actual Time]]/Data[[#This Row],[QTY Complete]],"")</f>
        <v>1.25</v>
      </c>
      <c r="O628" s="7">
        <f>IF(I628=ProdFam[[#Headers],[Test]],(VLOOKUP(Data[[#This Row],[Product Family]],ProdFam[],3,FALSE)),(VLOOKUP(Data[[#This Row],[Product Family]],ProdFam[],2,FALSE)))</f>
        <v>32</v>
      </c>
    </row>
    <row r="629" spans="2:15" x14ac:dyDescent="0.25">
      <c r="B629" s="1">
        <f>WEEKNUM(Data[[#This Row],[Date]],1)</f>
        <v>49</v>
      </c>
      <c r="C629" s="15">
        <f>YEAR(Data[[#This Row],[Date]])</f>
        <v>2019</v>
      </c>
      <c r="D629" s="5">
        <v>43802</v>
      </c>
      <c r="E629" s="1" t="s">
        <v>122</v>
      </c>
      <c r="F629" s="1">
        <v>29456</v>
      </c>
      <c r="G629" s="1" t="s">
        <v>16</v>
      </c>
      <c r="H629" s="1" t="s">
        <v>113</v>
      </c>
      <c r="I629" s="1" t="s">
        <v>0</v>
      </c>
      <c r="J629" s="1">
        <v>10</v>
      </c>
      <c r="K629" s="1">
        <f>J629*(IF(I629=ProdFam[[#Headers],[Test]],(VLOOKUP(Data[[#This Row],[Product Family]],ProdFam[],3,FALSE)),(VLOOKUP(Data[[#This Row],[Product Family]],ProdFam[],2,FALSE))))</f>
        <v>470</v>
      </c>
      <c r="L629" s="1">
        <v>120</v>
      </c>
      <c r="M629" s="1">
        <v>10</v>
      </c>
      <c r="N629" s="7">
        <f>IFERROR(Data[[#This Row],[Actual Time]]/Data[[#This Row],[QTY Complete]],"")</f>
        <v>12</v>
      </c>
      <c r="O629" s="7">
        <f>IF(I629=ProdFam[[#Headers],[Test]],(VLOOKUP(Data[[#This Row],[Product Family]],ProdFam[],3,FALSE)),(VLOOKUP(Data[[#This Row],[Product Family]],ProdFam[],2,FALSE)))</f>
        <v>47</v>
      </c>
    </row>
    <row r="630" spans="2:15" x14ac:dyDescent="0.25">
      <c r="B630" s="1">
        <f>WEEKNUM(Data[[#This Row],[Date]],1)</f>
        <v>49</v>
      </c>
      <c r="C630" s="15">
        <f>YEAR(Data[[#This Row],[Date]])</f>
        <v>2019</v>
      </c>
      <c r="D630" s="5">
        <v>43802</v>
      </c>
      <c r="E630" s="1" t="s">
        <v>122</v>
      </c>
      <c r="F630" s="1">
        <v>29414</v>
      </c>
      <c r="G630" s="1" t="s">
        <v>28</v>
      </c>
      <c r="H630" s="1" t="s">
        <v>113</v>
      </c>
      <c r="I630" s="1" t="s">
        <v>0</v>
      </c>
      <c r="J630" s="1">
        <v>8</v>
      </c>
      <c r="K630" s="1">
        <f>J630*(IF(I630=ProdFam[[#Headers],[Test]],(VLOOKUP(Data[[#This Row],[Product Family]],ProdFam[],3,FALSE)),(VLOOKUP(Data[[#This Row],[Product Family]],ProdFam[],2,FALSE))))</f>
        <v>376</v>
      </c>
      <c r="L630" s="1">
        <v>315</v>
      </c>
      <c r="M630" s="1">
        <v>8</v>
      </c>
      <c r="N630" s="7">
        <f>IFERROR(Data[[#This Row],[Actual Time]]/Data[[#This Row],[QTY Complete]],"")</f>
        <v>39.375</v>
      </c>
      <c r="O630" s="7">
        <f>IF(I630=ProdFam[[#Headers],[Test]],(VLOOKUP(Data[[#This Row],[Product Family]],ProdFam[],3,FALSE)),(VLOOKUP(Data[[#This Row],[Product Family]],ProdFam[],2,FALSE)))</f>
        <v>47</v>
      </c>
    </row>
    <row r="631" spans="2:15" x14ac:dyDescent="0.25">
      <c r="B631" s="1">
        <f>WEEKNUM(Data[[#This Row],[Date]],1)</f>
        <v>49</v>
      </c>
      <c r="C631" s="15">
        <f>YEAR(Data[[#This Row],[Date]])</f>
        <v>2019</v>
      </c>
      <c r="D631" s="5">
        <v>43802</v>
      </c>
      <c r="E631" s="1" t="s">
        <v>122</v>
      </c>
      <c r="F631" s="1">
        <v>29436</v>
      </c>
      <c r="G631" s="1" t="s">
        <v>33</v>
      </c>
      <c r="H631" s="1" t="s">
        <v>123</v>
      </c>
      <c r="I631" s="1" t="s">
        <v>0</v>
      </c>
      <c r="J631" s="1">
        <v>8</v>
      </c>
      <c r="K631" s="1">
        <f>J631*(IF(I631=ProdFam[[#Headers],[Test]],(VLOOKUP(Data[[#This Row],[Product Family]],ProdFam[],3,FALSE)),(VLOOKUP(Data[[#This Row],[Product Family]],ProdFam[],2,FALSE))))</f>
        <v>720</v>
      </c>
      <c r="L631" s="1">
        <v>60</v>
      </c>
      <c r="M631" s="1">
        <v>0</v>
      </c>
      <c r="N631" s="7" t="str">
        <f>IFERROR(Data[[#This Row],[Actual Time]]/Data[[#This Row],[QTY Complete]],"")</f>
        <v/>
      </c>
      <c r="O631" s="7">
        <f>IF(I631=ProdFam[[#Headers],[Test]],(VLOOKUP(Data[[#This Row],[Product Family]],ProdFam[],3,FALSE)),(VLOOKUP(Data[[#This Row],[Product Family]],ProdFam[],2,FALSE)))</f>
        <v>90</v>
      </c>
    </row>
    <row r="632" spans="2:15" x14ac:dyDescent="0.25">
      <c r="B632" s="1">
        <f>WEEKNUM(Data[[#This Row],[Date]],1)</f>
        <v>49</v>
      </c>
      <c r="C632" s="15">
        <f>YEAR(Data[[#This Row],[Date]])</f>
        <v>2019</v>
      </c>
      <c r="D632" s="5">
        <v>43802</v>
      </c>
      <c r="E632" s="1" t="s">
        <v>131</v>
      </c>
      <c r="F632" s="1">
        <v>29438</v>
      </c>
      <c r="G632" s="1" t="s">
        <v>16</v>
      </c>
      <c r="H632" s="1" t="s">
        <v>113</v>
      </c>
      <c r="I632" s="1" t="s">
        <v>0</v>
      </c>
      <c r="J632" s="1">
        <v>10</v>
      </c>
      <c r="K632" s="1">
        <f>J632*(IF(I632=ProdFam[[#Headers],[Test]],(VLOOKUP(Data[[#This Row],[Product Family]],ProdFam[],3,FALSE)),(VLOOKUP(Data[[#This Row],[Product Family]],ProdFam[],2,FALSE))))</f>
        <v>470</v>
      </c>
      <c r="L632" s="1">
        <v>170</v>
      </c>
      <c r="M632" s="1">
        <v>10</v>
      </c>
      <c r="N632" s="7">
        <f>IFERROR(Data[[#This Row],[Actual Time]]/Data[[#This Row],[QTY Complete]],"")</f>
        <v>17</v>
      </c>
      <c r="O632" s="7">
        <f>IF(I632=ProdFam[[#Headers],[Test]],(VLOOKUP(Data[[#This Row],[Product Family]],ProdFam[],3,FALSE)),(VLOOKUP(Data[[#This Row],[Product Family]],ProdFam[],2,FALSE)))</f>
        <v>47</v>
      </c>
    </row>
    <row r="633" spans="2:15" x14ac:dyDescent="0.25">
      <c r="B633" s="1">
        <f>WEEKNUM(Data[[#This Row],[Date]],1)</f>
        <v>49</v>
      </c>
      <c r="C633" s="15">
        <f>YEAR(Data[[#This Row],[Date]])</f>
        <v>2019</v>
      </c>
      <c r="D633" s="5">
        <v>43802</v>
      </c>
      <c r="E633" s="1" t="s">
        <v>131</v>
      </c>
      <c r="F633" s="1">
        <v>29457</v>
      </c>
      <c r="G633" s="1" t="s">
        <v>25</v>
      </c>
      <c r="H633" s="1" t="s">
        <v>113</v>
      </c>
      <c r="I633" s="1" t="s">
        <v>0</v>
      </c>
      <c r="J633" s="1">
        <v>10</v>
      </c>
      <c r="K633" s="1">
        <f>J633*(IF(I633=ProdFam[[#Headers],[Test]],(VLOOKUP(Data[[#This Row],[Product Family]],ProdFam[],3,FALSE)),(VLOOKUP(Data[[#This Row],[Product Family]],ProdFam[],2,FALSE))))</f>
        <v>470</v>
      </c>
      <c r="L633" s="1">
        <v>245</v>
      </c>
      <c r="M633" s="1">
        <v>0</v>
      </c>
      <c r="N633" s="7" t="str">
        <f>IFERROR(Data[[#This Row],[Actual Time]]/Data[[#This Row],[QTY Complete]],"")</f>
        <v/>
      </c>
      <c r="O633" s="7">
        <f>IF(I633=ProdFam[[#Headers],[Test]],(VLOOKUP(Data[[#This Row],[Product Family]],ProdFam[],3,FALSE)),(VLOOKUP(Data[[#This Row],[Product Family]],ProdFam[],2,FALSE)))</f>
        <v>47</v>
      </c>
    </row>
    <row r="634" spans="2:15" x14ac:dyDescent="0.25">
      <c r="B634" s="1">
        <f>WEEKNUM(Data[[#This Row],[Date]],1)</f>
        <v>49</v>
      </c>
      <c r="C634" s="15">
        <f>YEAR(Data[[#This Row],[Date]])</f>
        <v>2019</v>
      </c>
      <c r="D634" s="5">
        <v>43802</v>
      </c>
      <c r="E634" s="1" t="s">
        <v>118</v>
      </c>
      <c r="F634" s="1">
        <v>29403</v>
      </c>
      <c r="G634" s="1" t="s">
        <v>61</v>
      </c>
      <c r="H634" s="1" t="s">
        <v>112</v>
      </c>
      <c r="I634" s="1" t="s">
        <v>0</v>
      </c>
      <c r="J634" s="1">
        <v>12</v>
      </c>
      <c r="K634" s="1">
        <f>J634*(IF(I634=ProdFam[[#Headers],[Test]],(VLOOKUP(Data[[#This Row],[Product Family]],ProdFam[],3,FALSE)),(VLOOKUP(Data[[#This Row],[Product Family]],ProdFam[],2,FALSE))))</f>
        <v>120</v>
      </c>
      <c r="L634" s="1">
        <v>30</v>
      </c>
      <c r="M634" s="1">
        <v>12</v>
      </c>
      <c r="N634" s="7">
        <f>IFERROR(Data[[#This Row],[Actual Time]]/Data[[#This Row],[QTY Complete]],"")</f>
        <v>2.5</v>
      </c>
      <c r="O634" s="7">
        <f>IF(I634=ProdFam[[#Headers],[Test]],(VLOOKUP(Data[[#This Row],[Product Family]],ProdFam[],3,FALSE)),(VLOOKUP(Data[[#This Row],[Product Family]],ProdFam[],2,FALSE)))</f>
        <v>10</v>
      </c>
    </row>
    <row r="635" spans="2:15" x14ac:dyDescent="0.25">
      <c r="B635" s="1">
        <f>WEEKNUM(Data[[#This Row],[Date]],1)</f>
        <v>49</v>
      </c>
      <c r="C635" s="15">
        <f>YEAR(Data[[#This Row],[Date]])</f>
        <v>2019</v>
      </c>
      <c r="D635" s="5">
        <v>43802</v>
      </c>
      <c r="E635" s="1" t="s">
        <v>118</v>
      </c>
      <c r="F635" s="1">
        <v>29525</v>
      </c>
      <c r="G635" s="1" t="s">
        <v>71</v>
      </c>
      <c r="H635" s="1" t="s">
        <v>115</v>
      </c>
      <c r="I635" s="1" t="s">
        <v>0</v>
      </c>
      <c r="J635" s="1">
        <v>1</v>
      </c>
      <c r="K635" s="1">
        <f>J635*(IF(I635=ProdFam[[#Headers],[Test]],(VLOOKUP(Data[[#This Row],[Product Family]],ProdFam[],3,FALSE)),(VLOOKUP(Data[[#This Row],[Product Family]],ProdFam[],2,FALSE))))</f>
        <v>8</v>
      </c>
      <c r="L635" s="1">
        <v>17</v>
      </c>
      <c r="M635" s="1">
        <v>1</v>
      </c>
      <c r="N635" s="7">
        <f>IFERROR(Data[[#This Row],[Actual Time]]/Data[[#This Row],[QTY Complete]],"")</f>
        <v>17</v>
      </c>
      <c r="O635" s="7">
        <f>IF(I635=ProdFam[[#Headers],[Test]],(VLOOKUP(Data[[#This Row],[Product Family]],ProdFam[],3,FALSE)),(VLOOKUP(Data[[#This Row],[Product Family]],ProdFam[],2,FALSE)))</f>
        <v>8</v>
      </c>
    </row>
    <row r="636" spans="2:15" x14ac:dyDescent="0.25">
      <c r="B636" s="1">
        <f>WEEKNUM(Data[[#This Row],[Date]],1)</f>
        <v>49</v>
      </c>
      <c r="C636" s="15">
        <f>YEAR(Data[[#This Row],[Date]])</f>
        <v>2019</v>
      </c>
      <c r="D636" s="5">
        <v>43802</v>
      </c>
      <c r="E636" s="1" t="s">
        <v>118</v>
      </c>
      <c r="F636" s="1">
        <v>29418</v>
      </c>
      <c r="G636" s="1" t="s">
        <v>83</v>
      </c>
      <c r="H636" s="1" t="s">
        <v>132</v>
      </c>
      <c r="I636" s="1" t="s">
        <v>0</v>
      </c>
      <c r="J636" s="1">
        <v>6</v>
      </c>
      <c r="K636" s="1">
        <f>J636*(IF(I636=ProdFam[[#Headers],[Test]],(VLOOKUP(Data[[#This Row],[Product Family]],ProdFam[],3,FALSE)),(VLOOKUP(Data[[#This Row],[Product Family]],ProdFam[],2,FALSE))))</f>
        <v>138</v>
      </c>
      <c r="L636" s="1">
        <v>338</v>
      </c>
      <c r="M636" s="1">
        <v>6</v>
      </c>
      <c r="N636" s="7">
        <f>IFERROR(Data[[#This Row],[Actual Time]]/Data[[#This Row],[QTY Complete]],"")</f>
        <v>56.333333333333336</v>
      </c>
      <c r="O636" s="7">
        <f>IF(I636=ProdFam[[#Headers],[Test]],(VLOOKUP(Data[[#This Row],[Product Family]],ProdFam[],3,FALSE)),(VLOOKUP(Data[[#This Row],[Product Family]],ProdFam[],2,FALSE)))</f>
        <v>23</v>
      </c>
    </row>
    <row r="637" spans="2:15" x14ac:dyDescent="0.25">
      <c r="B637" s="1">
        <f>WEEKNUM(Data[[#This Row],[Date]],1)</f>
        <v>49</v>
      </c>
      <c r="C637" s="15">
        <f>YEAR(Data[[#This Row],[Date]])</f>
        <v>2019</v>
      </c>
      <c r="D637" s="5">
        <v>43802</v>
      </c>
      <c r="E637" s="1" t="s">
        <v>111</v>
      </c>
      <c r="F637" s="1">
        <v>29431</v>
      </c>
      <c r="G637" s="1" t="s">
        <v>84</v>
      </c>
      <c r="H637" s="1" t="s">
        <v>112</v>
      </c>
      <c r="I637" s="1" t="s">
        <v>1</v>
      </c>
      <c r="J637" s="1">
        <v>12</v>
      </c>
      <c r="K637" s="1">
        <f>J637*(IF(I637=ProdFam[[#Headers],[Test]],(VLOOKUP(Data[[#This Row],[Product Family]],ProdFam[],3,FALSE)),(VLOOKUP(Data[[#This Row],[Product Family]],ProdFam[],2,FALSE))))</f>
        <v>120</v>
      </c>
      <c r="L637" s="1">
        <v>120</v>
      </c>
      <c r="M637" s="1">
        <v>12</v>
      </c>
      <c r="N637" s="7">
        <f>IFERROR(Data[[#This Row],[Actual Time]]/Data[[#This Row],[QTY Complete]],"")</f>
        <v>10</v>
      </c>
      <c r="O637" s="7">
        <f>IF(I637=ProdFam[[#Headers],[Test]],(VLOOKUP(Data[[#This Row],[Product Family]],ProdFam[],3,FALSE)),(VLOOKUP(Data[[#This Row],[Product Family]],ProdFam[],2,FALSE)))</f>
        <v>10</v>
      </c>
    </row>
    <row r="638" spans="2:15" x14ac:dyDescent="0.25">
      <c r="B638" s="1">
        <f>WEEKNUM(Data[[#This Row],[Date]],1)</f>
        <v>49</v>
      </c>
      <c r="C638" s="15">
        <f>YEAR(Data[[#This Row],[Date]])</f>
        <v>2019</v>
      </c>
      <c r="D638" s="5">
        <v>43802</v>
      </c>
      <c r="E638" s="1" t="s">
        <v>111</v>
      </c>
      <c r="F638" s="1">
        <v>29419</v>
      </c>
      <c r="G638" s="1" t="s">
        <v>9</v>
      </c>
      <c r="H638" s="1" t="s">
        <v>112</v>
      </c>
      <c r="I638" s="1" t="s">
        <v>1</v>
      </c>
      <c r="J638" s="1">
        <v>16</v>
      </c>
      <c r="K638" s="1">
        <f>J638*(IF(I638=ProdFam[[#Headers],[Test]],(VLOOKUP(Data[[#This Row],[Product Family]],ProdFam[],3,FALSE)),(VLOOKUP(Data[[#This Row],[Product Family]],ProdFam[],2,FALSE))))</f>
        <v>160</v>
      </c>
      <c r="L638" s="1">
        <v>180</v>
      </c>
      <c r="M638" s="1">
        <v>11</v>
      </c>
      <c r="N638" s="7">
        <f>IFERROR(Data[[#This Row],[Actual Time]]/Data[[#This Row],[QTY Complete]],"")</f>
        <v>16.363636363636363</v>
      </c>
      <c r="O638" s="7">
        <f>IF(I638=ProdFam[[#Headers],[Test]],(VLOOKUP(Data[[#This Row],[Product Family]],ProdFam[],3,FALSE)),(VLOOKUP(Data[[#This Row],[Product Family]],ProdFam[],2,FALSE)))</f>
        <v>10</v>
      </c>
    </row>
    <row r="639" spans="2:15" x14ac:dyDescent="0.25">
      <c r="B639" s="1">
        <f>WEEKNUM(Data[[#This Row],[Date]],1)</f>
        <v>49</v>
      </c>
      <c r="C639" s="15">
        <f>YEAR(Data[[#This Row],[Date]])</f>
        <v>2019</v>
      </c>
      <c r="D639" s="5">
        <v>43802</v>
      </c>
      <c r="E639" s="1" t="s">
        <v>111</v>
      </c>
      <c r="F639" s="1">
        <v>29456</v>
      </c>
      <c r="G639" s="1" t="s">
        <v>142</v>
      </c>
      <c r="H639" s="1" t="s">
        <v>113</v>
      </c>
      <c r="I639" s="1" t="s">
        <v>1</v>
      </c>
      <c r="J639" s="1">
        <v>10</v>
      </c>
      <c r="K639" s="1">
        <f>J639*(IF(I639=ProdFam[[#Headers],[Test]],(VLOOKUP(Data[[#This Row],[Product Family]],ProdFam[],3,FALSE)),(VLOOKUP(Data[[#This Row],[Product Family]],ProdFam[],2,FALSE))))</f>
        <v>320</v>
      </c>
      <c r="L639" s="1">
        <v>30</v>
      </c>
      <c r="M639" s="1">
        <v>2</v>
      </c>
      <c r="N639" s="7">
        <f>IFERROR(Data[[#This Row],[Actual Time]]/Data[[#This Row],[QTY Complete]],"")</f>
        <v>15</v>
      </c>
      <c r="O639" s="7">
        <f>IF(I639=ProdFam[[#Headers],[Test]],(VLOOKUP(Data[[#This Row],[Product Family]],ProdFam[],3,FALSE)),(VLOOKUP(Data[[#This Row],[Product Family]],ProdFam[],2,FALSE)))</f>
        <v>32</v>
      </c>
    </row>
    <row r="640" spans="2:15" x14ac:dyDescent="0.25">
      <c r="B640" s="1">
        <f>WEEKNUM(Data[[#This Row],[Date]],1)</f>
        <v>49</v>
      </c>
      <c r="C640" s="15">
        <f>YEAR(Data[[#This Row],[Date]])</f>
        <v>2019</v>
      </c>
      <c r="D640" s="5">
        <v>43802</v>
      </c>
      <c r="E640" s="1" t="s">
        <v>119</v>
      </c>
      <c r="F640" s="1" t="s">
        <v>143</v>
      </c>
      <c r="G640" s="1" t="s">
        <v>63</v>
      </c>
      <c r="H640" s="1" t="s">
        <v>115</v>
      </c>
      <c r="I640" s="1" t="s">
        <v>1</v>
      </c>
      <c r="J640" s="1">
        <v>50</v>
      </c>
      <c r="K640" s="1">
        <f>J640*(IF(I640=ProdFam[[#Headers],[Test]],(VLOOKUP(Data[[#This Row],[Product Family]],ProdFam[],3,FALSE)),(VLOOKUP(Data[[#This Row],[Product Family]],ProdFam[],2,FALSE))))</f>
        <v>1200</v>
      </c>
      <c r="L640" s="1">
        <v>540</v>
      </c>
      <c r="M640" s="1">
        <v>0</v>
      </c>
      <c r="N640" s="7" t="str">
        <f>IFERROR(Data[[#This Row],[Actual Time]]/Data[[#This Row],[QTY Complete]],"")</f>
        <v/>
      </c>
      <c r="O640" s="7">
        <f>IF(I640=ProdFam[[#Headers],[Test]],(VLOOKUP(Data[[#This Row],[Product Family]],ProdFam[],3,FALSE)),(VLOOKUP(Data[[#This Row],[Product Family]],ProdFam[],2,FALSE)))</f>
        <v>24</v>
      </c>
    </row>
    <row r="641" spans="2:16" x14ac:dyDescent="0.25">
      <c r="B641" s="1">
        <f>WEEKNUM(Data[[#This Row],[Date]],1)</f>
        <v>49</v>
      </c>
      <c r="C641" s="15">
        <f>YEAR(Data[[#This Row],[Date]])</f>
        <v>2019</v>
      </c>
      <c r="D641" s="5">
        <v>43801</v>
      </c>
      <c r="E641" s="1" t="s">
        <v>117</v>
      </c>
      <c r="F641" s="1">
        <v>29417</v>
      </c>
      <c r="G641" s="1" t="s">
        <v>16</v>
      </c>
      <c r="H641" s="1" t="s">
        <v>113</v>
      </c>
      <c r="I641" s="1" t="s">
        <v>1</v>
      </c>
      <c r="J641" s="1">
        <v>10</v>
      </c>
      <c r="K641" s="1">
        <f>J641*(IF(I641=ProdFam[[#Headers],[Test]],(VLOOKUP(Data[[#This Row],[Product Family]],ProdFam[],3,FALSE)),(VLOOKUP(Data[[#This Row],[Product Family]],ProdFam[],2,FALSE))))</f>
        <v>320</v>
      </c>
      <c r="L641" s="1">
        <v>70</v>
      </c>
      <c r="M641" s="1">
        <v>0</v>
      </c>
      <c r="N641" s="7" t="str">
        <f>IFERROR(Data[[#This Row],[Actual Time]]/Data[[#This Row],[QTY Complete]],"")</f>
        <v/>
      </c>
      <c r="O641" s="7">
        <f>IF(I641=ProdFam[[#Headers],[Test]],(VLOOKUP(Data[[#This Row],[Product Family]],ProdFam[],3,FALSE)),(VLOOKUP(Data[[#This Row],[Product Family]],ProdFam[],2,FALSE)))</f>
        <v>32</v>
      </c>
    </row>
    <row r="642" spans="2:16" x14ac:dyDescent="0.25">
      <c r="B642" s="1">
        <f>WEEKNUM(Data[[#This Row],[Date]],1)</f>
        <v>49</v>
      </c>
      <c r="C642" s="15">
        <f>YEAR(Data[[#This Row],[Date]])</f>
        <v>2019</v>
      </c>
      <c r="D642" s="5">
        <v>43801</v>
      </c>
      <c r="E642" s="1" t="s">
        <v>117</v>
      </c>
      <c r="F642" s="1">
        <v>29432</v>
      </c>
      <c r="G642" s="1" t="s">
        <v>11</v>
      </c>
      <c r="H642" s="1" t="s">
        <v>113</v>
      </c>
      <c r="I642" s="1" t="s">
        <v>1</v>
      </c>
      <c r="J642" s="1">
        <v>4</v>
      </c>
      <c r="K642" s="1">
        <f>J642*(IF(I642=ProdFam[[#Headers],[Test]],(VLOOKUP(Data[[#This Row],[Product Family]],ProdFam[],3,FALSE)),(VLOOKUP(Data[[#This Row],[Product Family]],ProdFam[],2,FALSE))))</f>
        <v>128</v>
      </c>
      <c r="L642" s="1">
        <v>5</v>
      </c>
      <c r="M642" s="1">
        <v>0</v>
      </c>
      <c r="N642" s="7" t="str">
        <f>IFERROR(Data[[#This Row],[Actual Time]]/Data[[#This Row],[QTY Complete]],"")</f>
        <v/>
      </c>
      <c r="O642" s="7">
        <f>IF(I642=ProdFam[[#Headers],[Test]],(VLOOKUP(Data[[#This Row],[Product Family]],ProdFam[],3,FALSE)),(VLOOKUP(Data[[#This Row],[Product Family]],ProdFam[],2,FALSE)))</f>
        <v>32</v>
      </c>
    </row>
    <row r="643" spans="2:16" x14ac:dyDescent="0.25">
      <c r="B643" s="1">
        <f>WEEKNUM(Data[[#This Row],[Date]],1)</f>
        <v>48</v>
      </c>
      <c r="C643" s="15">
        <f>YEAR(Data[[#This Row],[Date]])</f>
        <v>2019</v>
      </c>
      <c r="D643" s="5">
        <v>43795</v>
      </c>
      <c r="E643" s="1" t="s">
        <v>117</v>
      </c>
      <c r="F643" s="1">
        <v>29434</v>
      </c>
      <c r="G643" s="1" t="s">
        <v>144</v>
      </c>
      <c r="H643" s="1" t="s">
        <v>115</v>
      </c>
      <c r="I643" s="1" t="s">
        <v>1</v>
      </c>
      <c r="J643" s="1">
        <v>13</v>
      </c>
      <c r="K643" s="1">
        <f>J643*(IF(I643=ProdFam[[#Headers],[Test]],(VLOOKUP(Data[[#This Row],[Product Family]],ProdFam[],3,FALSE)),(VLOOKUP(Data[[#This Row],[Product Family]],ProdFam[],2,FALSE))))</f>
        <v>312</v>
      </c>
      <c r="L643" s="1">
        <v>340</v>
      </c>
      <c r="M643" s="1">
        <v>13</v>
      </c>
      <c r="N643" s="7">
        <f>IFERROR(Data[[#This Row],[Actual Time]]/Data[[#This Row],[QTY Complete]],"")</f>
        <v>26.153846153846153</v>
      </c>
      <c r="O643" s="7">
        <f>IF(I643=ProdFam[[#Headers],[Test]],(VLOOKUP(Data[[#This Row],[Product Family]],ProdFam[],3,FALSE)),(VLOOKUP(Data[[#This Row],[Product Family]],ProdFam[],2,FALSE)))</f>
        <v>24</v>
      </c>
    </row>
    <row r="644" spans="2:16" x14ac:dyDescent="0.25">
      <c r="B644" s="1">
        <f>WEEKNUM(Data[[#This Row],[Date]],1)</f>
        <v>48</v>
      </c>
      <c r="C644" s="15">
        <f>YEAR(Data[[#This Row],[Date]])</f>
        <v>2019</v>
      </c>
      <c r="D644" s="5">
        <v>43795</v>
      </c>
      <c r="E644" s="1" t="s">
        <v>117</v>
      </c>
      <c r="F644" s="1">
        <v>29394</v>
      </c>
      <c r="G644" s="1" t="s">
        <v>28</v>
      </c>
      <c r="H644" s="1" t="s">
        <v>113</v>
      </c>
      <c r="I644" s="1" t="s">
        <v>1</v>
      </c>
      <c r="J644" s="1">
        <v>1</v>
      </c>
      <c r="K644" s="1">
        <f>J644*(IF(I644=ProdFam[[#Headers],[Test]],(VLOOKUP(Data[[#This Row],[Product Family]],ProdFam[],3,FALSE)),(VLOOKUP(Data[[#This Row],[Product Family]],ProdFam[],2,FALSE))))</f>
        <v>32</v>
      </c>
      <c r="L644" s="1">
        <v>20</v>
      </c>
      <c r="M644" s="1">
        <v>1</v>
      </c>
      <c r="N644" s="7">
        <f>IFERROR(Data[[#This Row],[Actual Time]]/Data[[#This Row],[QTY Complete]],"")</f>
        <v>20</v>
      </c>
      <c r="O644" s="7">
        <f>IF(I644=ProdFam[[#Headers],[Test]],(VLOOKUP(Data[[#This Row],[Product Family]],ProdFam[],3,FALSE)),(VLOOKUP(Data[[#This Row],[Product Family]],ProdFam[],2,FALSE)))</f>
        <v>32</v>
      </c>
    </row>
    <row r="645" spans="2:16" x14ac:dyDescent="0.25">
      <c r="B645" s="1">
        <f>WEEKNUM(Data[[#This Row],[Date]],1)</f>
        <v>49</v>
      </c>
      <c r="C645" s="15">
        <f>YEAR(Data[[#This Row],[Date]])</f>
        <v>2019</v>
      </c>
      <c r="D645" s="5">
        <v>43801</v>
      </c>
      <c r="E645" s="1" t="s">
        <v>119</v>
      </c>
      <c r="F645" s="1" t="s">
        <v>137</v>
      </c>
      <c r="G645" s="1" t="s">
        <v>63</v>
      </c>
      <c r="H645" s="1" t="s">
        <v>115</v>
      </c>
      <c r="I645" s="1" t="s">
        <v>1</v>
      </c>
      <c r="J645" s="1">
        <v>50</v>
      </c>
      <c r="K645" s="1">
        <f>J645*(IF(I645=ProdFam[[#Headers],[Test]],(VLOOKUP(Data[[#This Row],[Product Family]],ProdFam[],3,FALSE)),(VLOOKUP(Data[[#This Row],[Product Family]],ProdFam[],2,FALSE))))</f>
        <v>1200</v>
      </c>
      <c r="L645" s="1">
        <v>360</v>
      </c>
      <c r="M645" s="1">
        <v>50</v>
      </c>
      <c r="N645" s="7">
        <f>IFERROR(Data[[#This Row],[Actual Time]]/Data[[#This Row],[QTY Complete]],"")</f>
        <v>7.2</v>
      </c>
      <c r="O645" s="7">
        <f>IF(I645=ProdFam[[#Headers],[Test]],(VLOOKUP(Data[[#This Row],[Product Family]],ProdFam[],3,FALSE)),(VLOOKUP(Data[[#This Row],[Product Family]],ProdFam[],2,FALSE)))</f>
        <v>24</v>
      </c>
    </row>
    <row r="646" spans="2:16" x14ac:dyDescent="0.25">
      <c r="B646" s="1">
        <f>WEEKNUM(Data[[#This Row],[Date]],1)</f>
        <v>49</v>
      </c>
      <c r="C646" s="15">
        <f>YEAR(Data[[#This Row],[Date]])</f>
        <v>2019</v>
      </c>
      <c r="D646" s="5">
        <v>43801</v>
      </c>
      <c r="E646" s="1" t="s">
        <v>119</v>
      </c>
      <c r="F646" s="1">
        <v>29472</v>
      </c>
      <c r="G646" s="1" t="s">
        <v>138</v>
      </c>
      <c r="H646" s="1" t="s">
        <v>115</v>
      </c>
      <c r="I646" s="1" t="s">
        <v>1</v>
      </c>
      <c r="J646" s="1">
        <v>2</v>
      </c>
      <c r="K646" s="1">
        <f>J646*(IF(I646=ProdFam[[#Headers],[Test]],(VLOOKUP(Data[[#This Row],[Product Family]],ProdFam[],3,FALSE)),(VLOOKUP(Data[[#This Row],[Product Family]],ProdFam[],2,FALSE))))</f>
        <v>48</v>
      </c>
      <c r="L646" s="1">
        <v>15</v>
      </c>
      <c r="M646" s="1">
        <v>2</v>
      </c>
      <c r="N646" s="7">
        <f>IFERROR(Data[[#This Row],[Actual Time]]/Data[[#This Row],[QTY Complete]],"")</f>
        <v>7.5</v>
      </c>
      <c r="O646" s="7">
        <f>IF(I646=ProdFam[[#Headers],[Test]],(VLOOKUP(Data[[#This Row],[Product Family]],ProdFam[],3,FALSE)),(VLOOKUP(Data[[#This Row],[Product Family]],ProdFam[],2,FALSE)))</f>
        <v>24</v>
      </c>
    </row>
    <row r="647" spans="2:16" x14ac:dyDescent="0.25">
      <c r="B647" s="1">
        <f>WEEKNUM(Data[[#This Row],[Date]],1)</f>
        <v>49</v>
      </c>
      <c r="C647" s="15">
        <f>YEAR(Data[[#This Row],[Date]])</f>
        <v>2019</v>
      </c>
      <c r="D647" s="5">
        <v>43801</v>
      </c>
      <c r="E647" s="1" t="s">
        <v>119</v>
      </c>
      <c r="F647" s="1" t="s">
        <v>145</v>
      </c>
      <c r="G647" s="1" t="s">
        <v>63</v>
      </c>
      <c r="H647" s="1" t="s">
        <v>115</v>
      </c>
      <c r="I647" s="1" t="s">
        <v>1</v>
      </c>
      <c r="J647" s="1">
        <v>50</v>
      </c>
      <c r="K647" s="1">
        <f>J647*(IF(I647=ProdFam[[#Headers],[Test]],(VLOOKUP(Data[[#This Row],[Product Family]],ProdFam[],3,FALSE)),(VLOOKUP(Data[[#This Row],[Product Family]],ProdFam[],2,FALSE))))</f>
        <v>1200</v>
      </c>
      <c r="L647" s="1">
        <v>75</v>
      </c>
      <c r="M647" s="1">
        <v>0</v>
      </c>
      <c r="N647" s="7" t="str">
        <f>IFERROR(Data[[#This Row],[Actual Time]]/Data[[#This Row],[QTY Complete]],"")</f>
        <v/>
      </c>
      <c r="O647" s="7">
        <f>IF(I647=ProdFam[[#Headers],[Test]],(VLOOKUP(Data[[#This Row],[Product Family]],ProdFam[],3,FALSE)),(VLOOKUP(Data[[#This Row],[Product Family]],ProdFam[],2,FALSE)))</f>
        <v>24</v>
      </c>
    </row>
    <row r="648" spans="2:16" x14ac:dyDescent="0.25">
      <c r="B648" s="1">
        <f>WEEKNUM(Data[[#This Row],[Date]],1)</f>
        <v>49</v>
      </c>
      <c r="C648" s="15">
        <f>YEAR(Data[[#This Row],[Date]])</f>
        <v>2019</v>
      </c>
      <c r="D648" s="5">
        <v>43801</v>
      </c>
      <c r="E648" s="1" t="s">
        <v>111</v>
      </c>
      <c r="F648" s="1">
        <v>29442</v>
      </c>
      <c r="G648" s="1" t="s">
        <v>19</v>
      </c>
      <c r="H648" s="1" t="s">
        <v>113</v>
      </c>
      <c r="I648" s="1" t="s">
        <v>1</v>
      </c>
      <c r="J648" s="1">
        <v>2</v>
      </c>
      <c r="K648" s="1">
        <f>J648*(IF(I648=ProdFam[[#Headers],[Test]],(VLOOKUP(Data[[#This Row],[Product Family]],ProdFam[],3,FALSE)),(VLOOKUP(Data[[#This Row],[Product Family]],ProdFam[],2,FALSE))))</f>
        <v>64</v>
      </c>
      <c r="L648" s="1">
        <v>60</v>
      </c>
      <c r="M648" s="1">
        <v>2</v>
      </c>
      <c r="N648" s="7">
        <f>IFERROR(Data[[#This Row],[Actual Time]]/Data[[#This Row],[QTY Complete]],"")</f>
        <v>30</v>
      </c>
      <c r="O648" s="7">
        <f>IF(I648=ProdFam[[#Headers],[Test]],(VLOOKUP(Data[[#This Row],[Product Family]],ProdFam[],3,FALSE)),(VLOOKUP(Data[[#This Row],[Product Family]],ProdFam[],2,FALSE)))</f>
        <v>32</v>
      </c>
    </row>
    <row r="649" spans="2:16" x14ac:dyDescent="0.25">
      <c r="B649" s="1">
        <f>WEEKNUM(Data[[#This Row],[Date]],1)</f>
        <v>49</v>
      </c>
      <c r="C649" s="15">
        <f>YEAR(Data[[#This Row],[Date]])</f>
        <v>2019</v>
      </c>
      <c r="D649" s="5">
        <v>43801</v>
      </c>
      <c r="E649" s="1" t="s">
        <v>111</v>
      </c>
      <c r="F649" s="1">
        <v>29437</v>
      </c>
      <c r="G649" s="1" t="s">
        <v>17</v>
      </c>
      <c r="H649" s="1" t="s">
        <v>113</v>
      </c>
      <c r="I649" s="1" t="s">
        <v>1</v>
      </c>
      <c r="J649" s="1">
        <v>1</v>
      </c>
      <c r="K649" s="1">
        <f>J649*(IF(I649=ProdFam[[#Headers],[Test]],(VLOOKUP(Data[[#This Row],[Product Family]],ProdFam[],3,FALSE)),(VLOOKUP(Data[[#This Row],[Product Family]],ProdFam[],2,FALSE))))</f>
        <v>32</v>
      </c>
      <c r="L649" s="1">
        <v>30</v>
      </c>
      <c r="M649" s="1">
        <v>1</v>
      </c>
      <c r="N649" s="7">
        <f>IFERROR(Data[[#This Row],[Actual Time]]/Data[[#This Row],[QTY Complete]],"")</f>
        <v>30</v>
      </c>
      <c r="O649" s="7">
        <f>IF(I649=ProdFam[[#Headers],[Test]],(VLOOKUP(Data[[#This Row],[Product Family]],ProdFam[],3,FALSE)),(VLOOKUP(Data[[#This Row],[Product Family]],ProdFam[],2,FALSE)))</f>
        <v>32</v>
      </c>
    </row>
    <row r="650" spans="2:16" x14ac:dyDescent="0.25">
      <c r="B650" s="1">
        <f>WEEKNUM(Data[[#This Row],[Date]],1)</f>
        <v>49</v>
      </c>
      <c r="C650" s="15">
        <f>YEAR(Data[[#This Row],[Date]])</f>
        <v>2019</v>
      </c>
      <c r="D650" s="5">
        <v>43801</v>
      </c>
      <c r="E650" s="1" t="s">
        <v>111</v>
      </c>
      <c r="F650" s="1">
        <v>29379</v>
      </c>
      <c r="G650" s="1" t="s">
        <v>61</v>
      </c>
      <c r="H650" s="1" t="s">
        <v>112</v>
      </c>
      <c r="I650" s="1" t="s">
        <v>1</v>
      </c>
      <c r="J650" s="1">
        <v>12</v>
      </c>
      <c r="K650" s="1">
        <f>J650*(IF(I650=ProdFam[[#Headers],[Test]],(VLOOKUP(Data[[#This Row],[Product Family]],ProdFam[],3,FALSE)),(VLOOKUP(Data[[#This Row],[Product Family]],ProdFam[],2,FALSE))))</f>
        <v>120</v>
      </c>
      <c r="L650" s="1">
        <v>240</v>
      </c>
      <c r="M650" s="1">
        <v>11</v>
      </c>
      <c r="N650" s="7">
        <f>IFERROR(Data[[#This Row],[Actual Time]]/Data[[#This Row],[QTY Complete]],"")</f>
        <v>21.818181818181817</v>
      </c>
      <c r="O650" s="7">
        <f>IF(I650=ProdFam[[#Headers],[Test]],(VLOOKUP(Data[[#This Row],[Product Family]],ProdFam[],3,FALSE)),(VLOOKUP(Data[[#This Row],[Product Family]],ProdFam[],2,FALSE)))</f>
        <v>10</v>
      </c>
    </row>
    <row r="651" spans="2:16" x14ac:dyDescent="0.25">
      <c r="B651" s="1">
        <f>WEEKNUM(Data[[#This Row],[Date]],1)</f>
        <v>49</v>
      </c>
      <c r="C651" s="15">
        <f>YEAR(Data[[#This Row],[Date]])</f>
        <v>2019</v>
      </c>
      <c r="D651" s="5">
        <v>43801</v>
      </c>
      <c r="E651" s="1" t="s">
        <v>131</v>
      </c>
      <c r="F651" s="1">
        <v>29432</v>
      </c>
      <c r="G651" s="1" t="s">
        <v>11</v>
      </c>
      <c r="H651" s="1" t="s">
        <v>113</v>
      </c>
      <c r="I651" s="1" t="s">
        <v>0</v>
      </c>
      <c r="J651" s="1">
        <v>4</v>
      </c>
      <c r="K651" s="1">
        <f>J651*(IF(I651=ProdFam[[#Headers],[Test]],(VLOOKUP(Data[[#This Row],[Product Family]],ProdFam[],3,FALSE)),(VLOOKUP(Data[[#This Row],[Product Family]],ProdFam[],2,FALSE))))</f>
        <v>188</v>
      </c>
      <c r="L651" s="1">
        <v>180</v>
      </c>
      <c r="M651" s="1">
        <v>4</v>
      </c>
      <c r="N651" s="7">
        <f>IFERROR(Data[[#This Row],[Actual Time]]/Data[[#This Row],[QTY Complete]],"")</f>
        <v>45</v>
      </c>
      <c r="O651" s="7">
        <f>IF(I651=ProdFam[[#Headers],[Test]],(VLOOKUP(Data[[#This Row],[Product Family]],ProdFam[],3,FALSE)),(VLOOKUP(Data[[#This Row],[Product Family]],ProdFam[],2,FALSE)))</f>
        <v>47</v>
      </c>
    </row>
    <row r="652" spans="2:16" x14ac:dyDescent="0.25">
      <c r="B652" s="1">
        <f>WEEKNUM(Data[[#This Row],[Date]],1)</f>
        <v>49</v>
      </c>
      <c r="C652" s="15">
        <f>YEAR(Data[[#This Row],[Date]])</f>
        <v>2019</v>
      </c>
      <c r="D652" s="5">
        <v>43801</v>
      </c>
      <c r="E652" s="1" t="s">
        <v>131</v>
      </c>
      <c r="F652" s="1">
        <v>29438</v>
      </c>
      <c r="G652" s="1" t="s">
        <v>16</v>
      </c>
      <c r="H652" s="1" t="s">
        <v>113</v>
      </c>
      <c r="I652" s="1" t="s">
        <v>0</v>
      </c>
      <c r="J652" s="1">
        <v>10</v>
      </c>
      <c r="K652" s="1">
        <f>J652*(IF(I652=ProdFam[[#Headers],[Test]],(VLOOKUP(Data[[#This Row],[Product Family]],ProdFam[],3,FALSE)),(VLOOKUP(Data[[#This Row],[Product Family]],ProdFam[],2,FALSE))))</f>
        <v>470</v>
      </c>
      <c r="L652" s="1">
        <v>310</v>
      </c>
      <c r="M652" s="1">
        <v>0</v>
      </c>
      <c r="N652" s="7" t="str">
        <f>IFERROR(Data[[#This Row],[Actual Time]]/Data[[#This Row],[QTY Complete]],"")</f>
        <v/>
      </c>
      <c r="O652" s="7">
        <f>IF(I652=ProdFam[[#Headers],[Test]],(VLOOKUP(Data[[#This Row],[Product Family]],ProdFam[],3,FALSE)),(VLOOKUP(Data[[#This Row],[Product Family]],ProdFam[],2,FALSE)))</f>
        <v>47</v>
      </c>
    </row>
    <row r="653" spans="2:16" x14ac:dyDescent="0.25">
      <c r="B653" s="24">
        <f>WEEKNUM(Data[[#This Row],[Date]],1)</f>
        <v>49</v>
      </c>
      <c r="C653" s="25">
        <f>YEAR(Data[[#This Row],[Date]])</f>
        <v>2019</v>
      </c>
      <c r="D653" s="26">
        <v>43801</v>
      </c>
      <c r="E653" s="24" t="s">
        <v>122</v>
      </c>
      <c r="F653" s="24">
        <v>29440</v>
      </c>
      <c r="G653" s="24" t="s">
        <v>21</v>
      </c>
      <c r="H653" s="24" t="s">
        <v>123</v>
      </c>
      <c r="I653" s="24" t="s">
        <v>0</v>
      </c>
      <c r="J653" s="24">
        <v>10</v>
      </c>
      <c r="K653" s="24">
        <f>J653*(IF(I653=ProdFam[[#Headers],[Test]],(VLOOKUP(Data[[#This Row],[Product Family]],ProdFam[],3,FALSE)),(VLOOKUP(Data[[#This Row],[Product Family]],ProdFam[],2,FALSE))))</f>
        <v>900</v>
      </c>
      <c r="L653" s="24">
        <v>300</v>
      </c>
      <c r="M653" s="24">
        <v>10</v>
      </c>
      <c r="N653" s="27">
        <f>IFERROR(Data[[#This Row],[Actual Time]]/Data[[#This Row],[QTY Complete]],"")</f>
        <v>30</v>
      </c>
      <c r="O653" s="27">
        <f>IF(I653=ProdFam[[#Headers],[Test]],(VLOOKUP(Data[[#This Row],[Product Family]],ProdFam[],3,FALSE)),(VLOOKUP(Data[[#This Row],[Product Family]],ProdFam[],2,FALSE)))</f>
        <v>90</v>
      </c>
      <c r="P653" s="24"/>
    </row>
    <row r="654" spans="2:16" x14ac:dyDescent="0.25">
      <c r="B654" s="24">
        <f>WEEKNUM(Data[[#This Row],[Date]],1)</f>
        <v>49</v>
      </c>
      <c r="C654" s="25">
        <f>YEAR(Data[[#This Row],[Date]])</f>
        <v>2019</v>
      </c>
      <c r="D654" s="26">
        <v>43801</v>
      </c>
      <c r="E654" s="24" t="s">
        <v>122</v>
      </c>
      <c r="F654" s="24">
        <v>29456</v>
      </c>
      <c r="G654" s="24" t="s">
        <v>16</v>
      </c>
      <c r="H654" s="24" t="s">
        <v>113</v>
      </c>
      <c r="I654" s="24" t="s">
        <v>0</v>
      </c>
      <c r="J654" s="24">
        <v>10</v>
      </c>
      <c r="K654" s="24">
        <f>J654*(IF(I654=ProdFam[[#Headers],[Test]],(VLOOKUP(Data[[#This Row],[Product Family]],ProdFam[],3,FALSE)),(VLOOKUP(Data[[#This Row],[Product Family]],ProdFam[],2,FALSE))))</f>
        <v>470</v>
      </c>
      <c r="L654" s="24">
        <v>270</v>
      </c>
      <c r="M654" s="24">
        <v>0</v>
      </c>
      <c r="N654" s="27" t="str">
        <f>IFERROR(Data[[#This Row],[Actual Time]]/Data[[#This Row],[QTY Complete]],"")</f>
        <v/>
      </c>
      <c r="O654" s="27">
        <f>IF(I654=ProdFam[[#Headers],[Test]],(VLOOKUP(Data[[#This Row],[Product Family]],ProdFam[],3,FALSE)),(VLOOKUP(Data[[#This Row],[Product Family]],ProdFam[],2,FALSE)))</f>
        <v>47</v>
      </c>
      <c r="P654" s="24"/>
    </row>
    <row r="655" spans="2:16" x14ac:dyDescent="0.25">
      <c r="B655" s="24">
        <f>WEEKNUM(Data[[#This Row],[Date]],1)</f>
        <v>48</v>
      </c>
      <c r="C655" s="25">
        <f>YEAR(Data[[#This Row],[Date]])</f>
        <v>2019</v>
      </c>
      <c r="D655" s="26">
        <v>43798</v>
      </c>
      <c r="E655" s="24" t="s">
        <v>118</v>
      </c>
      <c r="F655" s="24">
        <v>29413</v>
      </c>
      <c r="G655" s="24" t="s">
        <v>139</v>
      </c>
      <c r="H655" s="24" t="s">
        <v>115</v>
      </c>
      <c r="I655" s="24" t="s">
        <v>0</v>
      </c>
      <c r="J655" s="24">
        <v>1</v>
      </c>
      <c r="K655" s="24">
        <f>J655*(IF(I655=ProdFam[[#Headers],[Test]],(VLOOKUP(Data[[#This Row],[Product Family]],ProdFam[],3,FALSE)),(VLOOKUP(Data[[#This Row],[Product Family]],ProdFam[],2,FALSE))))</f>
        <v>8</v>
      </c>
      <c r="L655" s="24">
        <v>10</v>
      </c>
      <c r="M655" s="24">
        <v>10</v>
      </c>
      <c r="N655" s="27">
        <f>IFERROR(Data[[#This Row],[Actual Time]]/Data[[#This Row],[QTY Complete]],"")</f>
        <v>1</v>
      </c>
      <c r="O655" s="27">
        <f>IF(I655=ProdFam[[#Headers],[Test]],(VLOOKUP(Data[[#This Row],[Product Family]],ProdFam[],3,FALSE)),(VLOOKUP(Data[[#This Row],[Product Family]],ProdFam[],2,FALSE)))</f>
        <v>8</v>
      </c>
      <c r="P655" s="24"/>
    </row>
    <row r="656" spans="2:16" x14ac:dyDescent="0.25">
      <c r="B656" s="24">
        <f>WEEKNUM(Data[[#This Row],[Date]],1)</f>
        <v>48</v>
      </c>
      <c r="C656" s="25">
        <f>YEAR(Data[[#This Row],[Date]])</f>
        <v>2019</v>
      </c>
      <c r="D656" s="26">
        <v>43798</v>
      </c>
      <c r="E656" s="24" t="s">
        <v>118</v>
      </c>
      <c r="F656" s="24">
        <v>29404</v>
      </c>
      <c r="G656" s="24" t="s">
        <v>62</v>
      </c>
      <c r="H656" s="24" t="s">
        <v>112</v>
      </c>
      <c r="I656" s="24" t="s">
        <v>0</v>
      </c>
      <c r="J656" s="24">
        <v>24</v>
      </c>
      <c r="K656" s="24">
        <f>J656*(IF(I656=ProdFam[[#Headers],[Test]],(VLOOKUP(Data[[#This Row],[Product Family]],ProdFam[],3,FALSE)),(VLOOKUP(Data[[#This Row],[Product Family]],ProdFam[],2,FALSE))))</f>
        <v>240</v>
      </c>
      <c r="L656" s="24">
        <v>50</v>
      </c>
      <c r="M656" s="24">
        <v>50</v>
      </c>
      <c r="N656" s="27">
        <f>IFERROR(Data[[#This Row],[Actual Time]]/Data[[#This Row],[QTY Complete]],"")</f>
        <v>1</v>
      </c>
      <c r="O656" s="27">
        <f>IF(I656=ProdFam[[#Headers],[Test]],(VLOOKUP(Data[[#This Row],[Product Family]],ProdFam[],3,FALSE)),(VLOOKUP(Data[[#This Row],[Product Family]],ProdFam[],2,FALSE)))</f>
        <v>10</v>
      </c>
      <c r="P656" s="24"/>
    </row>
    <row r="657" spans="2:16" x14ac:dyDescent="0.25">
      <c r="B657" s="24">
        <f>WEEKNUM(Data[[#This Row],[Date]],1)</f>
        <v>48</v>
      </c>
      <c r="C657" s="25">
        <f>YEAR(Data[[#This Row],[Date]])</f>
        <v>2019</v>
      </c>
      <c r="D657" s="26">
        <v>43798</v>
      </c>
      <c r="E657" s="24" t="s">
        <v>118</v>
      </c>
      <c r="F657" s="24">
        <v>29403</v>
      </c>
      <c r="G657" s="24" t="s">
        <v>61</v>
      </c>
      <c r="H657" s="24" t="s">
        <v>112</v>
      </c>
      <c r="I657" s="24" t="s">
        <v>0</v>
      </c>
      <c r="J657" s="24">
        <v>12</v>
      </c>
      <c r="K657" s="24">
        <f>J657*(IF(I657=ProdFam[[#Headers],[Test]],(VLOOKUP(Data[[#This Row],[Product Family]],ProdFam[],3,FALSE)),(VLOOKUP(Data[[#This Row],[Product Family]],ProdFam[],2,FALSE))))</f>
        <v>120</v>
      </c>
      <c r="L657" s="24">
        <v>0</v>
      </c>
      <c r="M657" s="24">
        <v>0</v>
      </c>
      <c r="N657" s="27" t="str">
        <f>IFERROR(Data[[#This Row],[Actual Time]]/Data[[#This Row],[QTY Complete]],"")</f>
        <v/>
      </c>
      <c r="O657" s="27">
        <f>IF(I657=ProdFam[[#Headers],[Test]],(VLOOKUP(Data[[#This Row],[Product Family]],ProdFam[],3,FALSE)),(VLOOKUP(Data[[#This Row],[Product Family]],ProdFam[],2,FALSE)))</f>
        <v>10</v>
      </c>
      <c r="P657" s="24"/>
    </row>
    <row r="658" spans="2:16" x14ac:dyDescent="0.25">
      <c r="B658" s="1">
        <f>WEEKNUM(Data[[#This Row],[Date]],1)</f>
        <v>48</v>
      </c>
      <c r="C658" s="15">
        <f>YEAR(Data[[#This Row],[Date]])</f>
        <v>2019</v>
      </c>
      <c r="D658" s="5">
        <v>43795</v>
      </c>
      <c r="E658" s="24" t="s">
        <v>118</v>
      </c>
      <c r="F658" s="1">
        <v>29367</v>
      </c>
      <c r="G658" s="1" t="s">
        <v>146</v>
      </c>
      <c r="H658" s="1" t="s">
        <v>113</v>
      </c>
      <c r="I658" s="1" t="s">
        <v>0</v>
      </c>
      <c r="J658" s="1">
        <v>3</v>
      </c>
      <c r="K658" s="1">
        <f>J658*(IF(I658=ProdFam[[#Headers],[Test]],(VLOOKUP(Data[[#This Row],[Product Family]],ProdFam[],3,FALSE)),(VLOOKUP(Data[[#This Row],[Product Family]],ProdFam[],2,FALSE))))</f>
        <v>141</v>
      </c>
      <c r="L658" s="1">
        <v>70</v>
      </c>
      <c r="M658" s="1">
        <v>3</v>
      </c>
      <c r="N658" s="7">
        <f>IFERROR(Data[[#This Row],[Actual Time]]/Data[[#This Row],[QTY Complete]],"")</f>
        <v>23.333333333333332</v>
      </c>
      <c r="O658" s="7">
        <f>IF(I658=ProdFam[[#Headers],[Test]],(VLOOKUP(Data[[#This Row],[Product Family]],ProdFam[],3,FALSE)),(VLOOKUP(Data[[#This Row],[Product Family]],ProdFam[],2,FALSE)))</f>
        <v>47</v>
      </c>
    </row>
    <row r="659" spans="2:16" x14ac:dyDescent="0.25">
      <c r="B659" s="1">
        <f>WEEKNUM(Data[[#This Row],[Date]],1)</f>
        <v>48</v>
      </c>
      <c r="C659" s="15">
        <f>YEAR(Data[[#This Row],[Date]])</f>
        <v>2019</v>
      </c>
      <c r="D659" s="5">
        <v>43795</v>
      </c>
      <c r="E659" s="24" t="s">
        <v>118</v>
      </c>
      <c r="F659" s="1">
        <v>29415</v>
      </c>
      <c r="G659" s="1" t="s">
        <v>42</v>
      </c>
      <c r="H659" s="1" t="s">
        <v>112</v>
      </c>
      <c r="I659" s="1" t="s">
        <v>0</v>
      </c>
      <c r="J659" s="1">
        <v>3</v>
      </c>
      <c r="K659" s="1">
        <f>J659*(IF(I659=ProdFam[[#Headers],[Test]],(VLOOKUP(Data[[#This Row],[Product Family]],ProdFam[],3,FALSE)),(VLOOKUP(Data[[#This Row],[Product Family]],ProdFam[],2,FALSE))))</f>
        <v>30</v>
      </c>
      <c r="L659" s="1">
        <v>60</v>
      </c>
      <c r="M659" s="1">
        <v>3</v>
      </c>
      <c r="N659" s="7">
        <f>IFERROR(Data[[#This Row],[Actual Time]]/Data[[#This Row],[QTY Complete]],"")</f>
        <v>20</v>
      </c>
      <c r="O659" s="7">
        <f>IF(I659=ProdFam[[#Headers],[Test]],(VLOOKUP(Data[[#This Row],[Product Family]],ProdFam[],3,FALSE)),(VLOOKUP(Data[[#This Row],[Product Family]],ProdFam[],2,FALSE)))</f>
        <v>10</v>
      </c>
    </row>
    <row r="660" spans="2:16" x14ac:dyDescent="0.25">
      <c r="B660" s="1">
        <f>WEEKNUM(Data[[#This Row],[Date]],1)</f>
        <v>48</v>
      </c>
      <c r="C660" s="15">
        <f>YEAR(Data[[#This Row],[Date]])</f>
        <v>2019</v>
      </c>
      <c r="D660" s="5">
        <v>43795</v>
      </c>
      <c r="E660" s="24" t="s">
        <v>118</v>
      </c>
      <c r="F660" s="1">
        <v>29442</v>
      </c>
      <c r="G660" s="1" t="s">
        <v>19</v>
      </c>
      <c r="H660" s="1" t="s">
        <v>113</v>
      </c>
      <c r="I660" s="1" t="s">
        <v>0</v>
      </c>
      <c r="J660" s="1">
        <v>2</v>
      </c>
      <c r="K660" s="1">
        <f>J660*(IF(I660=ProdFam[[#Headers],[Test]],(VLOOKUP(Data[[#This Row],[Product Family]],ProdFam[],3,FALSE)),(VLOOKUP(Data[[#This Row],[Product Family]],ProdFam[],2,FALSE))))</f>
        <v>94</v>
      </c>
      <c r="L660" s="1">
        <v>105</v>
      </c>
      <c r="M660" s="1">
        <v>3</v>
      </c>
      <c r="N660" s="7">
        <f>IFERROR(Data[[#This Row],[Actual Time]]/Data[[#This Row],[QTY Complete]],"")</f>
        <v>35</v>
      </c>
      <c r="O660" s="7">
        <f>IF(I660=ProdFam[[#Headers],[Test]],(VLOOKUP(Data[[#This Row],[Product Family]],ProdFam[],3,FALSE)),(VLOOKUP(Data[[#This Row],[Product Family]],ProdFam[],2,FALSE)))</f>
        <v>47</v>
      </c>
    </row>
    <row r="661" spans="2:16" x14ac:dyDescent="0.25">
      <c r="B661" s="1">
        <f>WEEKNUM(Data[[#This Row],[Date]],1)</f>
        <v>48</v>
      </c>
      <c r="C661" s="15">
        <f>YEAR(Data[[#This Row],[Date]])</f>
        <v>2019</v>
      </c>
      <c r="D661" s="5">
        <v>43795</v>
      </c>
      <c r="E661" s="24" t="s">
        <v>111</v>
      </c>
      <c r="F661" s="1">
        <v>29397</v>
      </c>
      <c r="G661" s="1" t="s">
        <v>25</v>
      </c>
      <c r="H661" s="1" t="s">
        <v>113</v>
      </c>
      <c r="I661" s="1" t="s">
        <v>1</v>
      </c>
      <c r="J661" s="1">
        <v>10</v>
      </c>
      <c r="K661" s="1">
        <f>J661*(IF(I661=ProdFam[[#Headers],[Test]],(VLOOKUP(Data[[#This Row],[Product Family]],ProdFam[],3,FALSE)),(VLOOKUP(Data[[#This Row],[Product Family]],ProdFam[],2,FALSE))))</f>
        <v>320</v>
      </c>
      <c r="L661" s="1">
        <v>300</v>
      </c>
      <c r="M661" s="1">
        <v>10</v>
      </c>
      <c r="N661" s="7">
        <f>IFERROR(Data[[#This Row],[Actual Time]]/Data[[#This Row],[QTY Complete]],"")</f>
        <v>30</v>
      </c>
      <c r="O661" s="7">
        <f>IF(I661=ProdFam[[#Headers],[Test]],(VLOOKUP(Data[[#This Row],[Product Family]],ProdFam[],3,FALSE)),(VLOOKUP(Data[[#This Row],[Product Family]],ProdFam[],2,FALSE)))</f>
        <v>32</v>
      </c>
    </row>
    <row r="662" spans="2:16" x14ac:dyDescent="0.25">
      <c r="B662" s="1">
        <f>WEEKNUM(Data[[#This Row],[Date]],1)</f>
        <v>48</v>
      </c>
      <c r="C662" s="15">
        <f>YEAR(Data[[#This Row],[Date]])</f>
        <v>2019</v>
      </c>
      <c r="D662" s="5">
        <v>43795</v>
      </c>
      <c r="E662" s="24" t="s">
        <v>131</v>
      </c>
      <c r="F662" s="1">
        <v>29397</v>
      </c>
      <c r="G662" s="1" t="s">
        <v>25</v>
      </c>
      <c r="H662" s="1" t="s">
        <v>113</v>
      </c>
      <c r="I662" s="1" t="s">
        <v>0</v>
      </c>
      <c r="J662" s="1">
        <v>10</v>
      </c>
      <c r="K662" s="1">
        <f>J662*(IF(I662=ProdFam[[#Headers],[Test]],(VLOOKUP(Data[[#This Row],[Product Family]],ProdFam[],3,FALSE)),(VLOOKUP(Data[[#This Row],[Product Family]],ProdFam[],2,FALSE))))</f>
        <v>470</v>
      </c>
      <c r="L662" s="1">
        <v>80</v>
      </c>
      <c r="M662" s="1">
        <v>2</v>
      </c>
      <c r="N662" s="7">
        <f>IFERROR(Data[[#This Row],[Actual Time]]/Data[[#This Row],[QTY Complete]],"")</f>
        <v>40</v>
      </c>
      <c r="O662" s="7">
        <f>IF(I662=ProdFam[[#Headers],[Test]],(VLOOKUP(Data[[#This Row],[Product Family]],ProdFam[],3,FALSE)),(VLOOKUP(Data[[#This Row],[Product Family]],ProdFam[],2,FALSE)))</f>
        <v>47</v>
      </c>
    </row>
    <row r="663" spans="2:16" x14ac:dyDescent="0.25">
      <c r="B663" s="1">
        <f>WEEKNUM(Data[[#This Row],[Date]],1)</f>
        <v>48</v>
      </c>
      <c r="C663" s="15">
        <f>YEAR(Data[[#This Row],[Date]])</f>
        <v>2019</v>
      </c>
      <c r="D663" s="5">
        <v>43795</v>
      </c>
      <c r="E663" s="24" t="s">
        <v>131</v>
      </c>
      <c r="F663" s="1">
        <v>29437</v>
      </c>
      <c r="G663" s="1" t="s">
        <v>17</v>
      </c>
      <c r="H663" s="1" t="s">
        <v>113</v>
      </c>
      <c r="I663" s="1" t="s">
        <v>0</v>
      </c>
      <c r="J663" s="1">
        <v>1</v>
      </c>
      <c r="K663" s="1">
        <f>J663*(IF(I663=ProdFam[[#Headers],[Test]],(VLOOKUP(Data[[#This Row],[Product Family]],ProdFam[],3,FALSE)),(VLOOKUP(Data[[#This Row],[Product Family]],ProdFam[],2,FALSE))))</f>
        <v>47</v>
      </c>
      <c r="L663" s="1">
        <v>250</v>
      </c>
      <c r="M663" s="1">
        <v>1</v>
      </c>
      <c r="N663" s="7">
        <f>IFERROR(Data[[#This Row],[Actual Time]]/Data[[#This Row],[QTY Complete]],"")</f>
        <v>250</v>
      </c>
      <c r="O663" s="7">
        <f>IF(I663=ProdFam[[#Headers],[Test]],(VLOOKUP(Data[[#This Row],[Product Family]],ProdFam[],3,FALSE)),(VLOOKUP(Data[[#This Row],[Product Family]],ProdFam[],2,FALSE)))</f>
        <v>47</v>
      </c>
    </row>
    <row r="664" spans="2:16" x14ac:dyDescent="0.25">
      <c r="B664" s="1">
        <f>WEEKNUM(Data[[#This Row],[Date]],1)</f>
        <v>48</v>
      </c>
      <c r="C664" s="15">
        <f>YEAR(Data[[#This Row],[Date]])</f>
        <v>2019</v>
      </c>
      <c r="D664" s="5">
        <v>43795</v>
      </c>
      <c r="E664" s="24" t="s">
        <v>131</v>
      </c>
      <c r="F664" s="1">
        <v>29417</v>
      </c>
      <c r="G664" s="1" t="s">
        <v>16</v>
      </c>
      <c r="H664" s="1" t="s">
        <v>113</v>
      </c>
      <c r="I664" s="1" t="s">
        <v>0</v>
      </c>
      <c r="J664" s="1">
        <v>10</v>
      </c>
      <c r="K664" s="1">
        <f>J664*(IF(I664=ProdFam[[#Headers],[Test]],(VLOOKUP(Data[[#This Row],[Product Family]],ProdFam[],3,FALSE)),(VLOOKUP(Data[[#This Row],[Product Family]],ProdFam[],2,FALSE))))</f>
        <v>470</v>
      </c>
      <c r="L664" s="1">
        <v>255</v>
      </c>
      <c r="M664" s="1">
        <v>3</v>
      </c>
      <c r="N664" s="7">
        <f>IFERROR(Data[[#This Row],[Actual Time]]/Data[[#This Row],[QTY Complete]],"")</f>
        <v>85</v>
      </c>
      <c r="O664" s="7">
        <f>IF(I664=ProdFam[[#Headers],[Test]],(VLOOKUP(Data[[#This Row],[Product Family]],ProdFam[],3,FALSE)),(VLOOKUP(Data[[#This Row],[Product Family]],ProdFam[],2,FALSE)))</f>
        <v>47</v>
      </c>
    </row>
    <row r="665" spans="2:16" x14ac:dyDescent="0.25">
      <c r="B665" s="1">
        <f>WEEKNUM(Data[[#This Row],[Date]],1)</f>
        <v>48</v>
      </c>
      <c r="C665" s="15">
        <f>YEAR(Data[[#This Row],[Date]])</f>
        <v>2019</v>
      </c>
      <c r="D665" s="5">
        <v>43796</v>
      </c>
      <c r="E665" s="1" t="s">
        <v>131</v>
      </c>
      <c r="F665" s="1">
        <v>29417</v>
      </c>
      <c r="G665" s="1" t="s">
        <v>11</v>
      </c>
      <c r="H665" s="1" t="s">
        <v>113</v>
      </c>
      <c r="I665" s="1" t="s">
        <v>0</v>
      </c>
      <c r="J665" s="1">
        <v>10</v>
      </c>
      <c r="K665" s="1">
        <f>J665*(IF(I665=ProdFam[[#Headers],[Test]],(VLOOKUP(Data[[#This Row],[Product Family]],ProdFam[],3,FALSE)),(VLOOKUP(Data[[#This Row],[Product Family]],ProdFam[],2,FALSE))))</f>
        <v>470</v>
      </c>
      <c r="L665" s="1">
        <v>170</v>
      </c>
      <c r="M665" s="1">
        <v>7</v>
      </c>
      <c r="N665" s="7">
        <f>IFERROR(Data[[#This Row],[Actual Time]]/Data[[#This Row],[QTY Complete]],"")</f>
        <v>24.285714285714285</v>
      </c>
      <c r="O665" s="7">
        <f>IF(I665=ProdFam[[#Headers],[Test]],(VLOOKUP(Data[[#This Row],[Product Family]],ProdFam[],3,FALSE)),(VLOOKUP(Data[[#This Row],[Product Family]],ProdFam[],2,FALSE)))</f>
        <v>47</v>
      </c>
    </row>
    <row r="666" spans="2:16" x14ac:dyDescent="0.25">
      <c r="B666" s="1">
        <f>WEEKNUM(Data[[#This Row],[Date]],1)</f>
        <v>48</v>
      </c>
      <c r="C666" s="15">
        <f>YEAR(Data[[#This Row],[Date]])</f>
        <v>2019</v>
      </c>
      <c r="D666" s="5">
        <v>43796</v>
      </c>
      <c r="E666" s="1" t="s">
        <v>131</v>
      </c>
      <c r="F666" s="1">
        <v>29432</v>
      </c>
      <c r="G666" s="1" t="s">
        <v>11</v>
      </c>
      <c r="H666" s="1" t="s">
        <v>113</v>
      </c>
      <c r="I666" s="1" t="s">
        <v>0</v>
      </c>
      <c r="J666" s="1">
        <v>4</v>
      </c>
      <c r="K666" s="1">
        <f>J666*(IF(I666=ProdFam[[#Headers],[Test]],(VLOOKUP(Data[[#This Row],[Product Family]],ProdFam[],3,FALSE)),(VLOOKUP(Data[[#This Row],[Product Family]],ProdFam[],2,FALSE))))</f>
        <v>188</v>
      </c>
      <c r="L666" s="1">
        <v>77</v>
      </c>
      <c r="M666" s="1">
        <v>0</v>
      </c>
      <c r="N666" s="7" t="str">
        <f>IFERROR(Data[[#This Row],[Actual Time]]/Data[[#This Row],[QTY Complete]],"")</f>
        <v/>
      </c>
      <c r="O666" s="7">
        <f>IF(I666=ProdFam[[#Headers],[Test]],(VLOOKUP(Data[[#This Row],[Product Family]],ProdFam[],3,FALSE)),(VLOOKUP(Data[[#This Row],[Product Family]],ProdFam[],2,FALSE)))</f>
        <v>47</v>
      </c>
    </row>
    <row r="667" spans="2:16" x14ac:dyDescent="0.25">
      <c r="B667" s="1">
        <f>WEEKNUM(Data[[#This Row],[Date]],1)</f>
        <v>48</v>
      </c>
      <c r="C667" s="15">
        <f>YEAR(Data[[#This Row],[Date]])</f>
        <v>2019</v>
      </c>
      <c r="D667" s="5">
        <v>43795</v>
      </c>
      <c r="E667" s="1" t="s">
        <v>122</v>
      </c>
      <c r="F667" s="1">
        <v>29440</v>
      </c>
      <c r="G667" s="1" t="s">
        <v>85</v>
      </c>
      <c r="H667" s="1" t="s">
        <v>123</v>
      </c>
      <c r="I667" s="1" t="s">
        <v>0</v>
      </c>
      <c r="J667" s="1">
        <v>10</v>
      </c>
      <c r="K667" s="1">
        <f>J667*(IF(I667=ProdFam[[#Headers],[Test]],(VLOOKUP(Data[[#This Row],[Product Family]],ProdFam[],3,FALSE)),(VLOOKUP(Data[[#This Row],[Product Family]],ProdFam[],2,FALSE))))</f>
        <v>900</v>
      </c>
      <c r="L667" s="1">
        <v>435</v>
      </c>
      <c r="M667" s="1">
        <v>0</v>
      </c>
      <c r="N667" s="7" t="str">
        <f>IFERROR(Data[[#This Row],[Actual Time]]/Data[[#This Row],[QTY Complete]],"")</f>
        <v/>
      </c>
      <c r="O667" s="7">
        <f>IF(I667=ProdFam[[#Headers],[Test]],(VLOOKUP(Data[[#This Row],[Product Family]],ProdFam[],3,FALSE)),(VLOOKUP(Data[[#This Row],[Product Family]],ProdFam[],2,FALSE)))</f>
        <v>90</v>
      </c>
    </row>
    <row r="668" spans="2:16" x14ac:dyDescent="0.25">
      <c r="B668" s="1">
        <f>WEEKNUM(Data[[#This Row],[Date]],1)</f>
        <v>48</v>
      </c>
      <c r="C668" s="15">
        <f>YEAR(Data[[#This Row],[Date]])</f>
        <v>2019</v>
      </c>
      <c r="D668" s="5">
        <v>43796</v>
      </c>
      <c r="E668" s="1" t="s">
        <v>122</v>
      </c>
      <c r="F668" s="1">
        <v>29440</v>
      </c>
      <c r="G668" s="1" t="s">
        <v>85</v>
      </c>
      <c r="H668" s="1" t="s">
        <v>123</v>
      </c>
      <c r="I668" s="1" t="s">
        <v>0</v>
      </c>
      <c r="J668" s="1">
        <v>10</v>
      </c>
      <c r="K668" s="1">
        <f>J668*(IF(I668=ProdFam[[#Headers],[Test]],(VLOOKUP(Data[[#This Row],[Product Family]],ProdFam[],3,FALSE)),(VLOOKUP(Data[[#This Row],[Product Family]],ProdFam[],2,FALSE))))</f>
        <v>900</v>
      </c>
      <c r="L668" s="1">
        <v>225</v>
      </c>
      <c r="M668" s="1">
        <v>0</v>
      </c>
      <c r="N668" s="7" t="str">
        <f>IFERROR(Data[[#This Row],[Actual Time]]/Data[[#This Row],[QTY Complete]],"")</f>
        <v/>
      </c>
      <c r="O668" s="7">
        <f>IF(I668=ProdFam[[#Headers],[Test]],(VLOOKUP(Data[[#This Row],[Product Family]],ProdFam[],3,FALSE)),(VLOOKUP(Data[[#This Row],[Product Family]],ProdFam[],2,FALSE)))</f>
        <v>90</v>
      </c>
    </row>
    <row r="669" spans="2:16" x14ac:dyDescent="0.25">
      <c r="B669" s="1">
        <f>WEEKNUM(Data[[#This Row],[Date]],1)</f>
        <v>48</v>
      </c>
      <c r="C669" s="15">
        <f>YEAR(Data[[#This Row],[Date]])</f>
        <v>2019</v>
      </c>
      <c r="D669" s="5">
        <v>43794</v>
      </c>
      <c r="E669" s="1" t="s">
        <v>111</v>
      </c>
      <c r="F669" s="1">
        <v>29376</v>
      </c>
      <c r="G669" s="1" t="s">
        <v>16</v>
      </c>
      <c r="H669" s="1" t="s">
        <v>113</v>
      </c>
      <c r="I669" s="1" t="s">
        <v>1</v>
      </c>
      <c r="J669" s="1">
        <v>10</v>
      </c>
      <c r="K669" s="1">
        <f>J669*(IF(I669=ProdFam[[#Headers],[Test]],(VLOOKUP(Data[[#This Row],[Product Family]],ProdFam[],3,FALSE)),(VLOOKUP(Data[[#This Row],[Product Family]],ProdFam[],2,FALSE))))</f>
        <v>320</v>
      </c>
      <c r="L669" s="1">
        <v>180</v>
      </c>
      <c r="M669" s="1">
        <v>10</v>
      </c>
      <c r="N669" s="7">
        <f>IFERROR(Data[[#This Row],[Actual Time]]/Data[[#This Row],[QTY Complete]],"")</f>
        <v>18</v>
      </c>
      <c r="O669" s="7">
        <f>IF(I669=ProdFam[[#Headers],[Test]],(VLOOKUP(Data[[#This Row],[Product Family]],ProdFam[],3,FALSE)),(VLOOKUP(Data[[#This Row],[Product Family]],ProdFam[],2,FALSE)))</f>
        <v>32</v>
      </c>
    </row>
    <row r="670" spans="2:16" x14ac:dyDescent="0.25">
      <c r="B670" s="1">
        <f>WEEKNUM(Data[[#This Row],[Date]],1)</f>
        <v>48</v>
      </c>
      <c r="C670" s="15">
        <f>YEAR(Data[[#This Row],[Date]])</f>
        <v>2019</v>
      </c>
      <c r="D670" s="5">
        <v>43794</v>
      </c>
      <c r="E670" s="1" t="s">
        <v>111</v>
      </c>
      <c r="F670" s="1">
        <v>29434</v>
      </c>
      <c r="G670" s="1" t="s">
        <v>28</v>
      </c>
      <c r="H670" s="1" t="s">
        <v>113</v>
      </c>
      <c r="I670" s="1" t="s">
        <v>1</v>
      </c>
      <c r="J670" s="1">
        <v>8</v>
      </c>
      <c r="K670" s="1">
        <f>J670*(IF(I670=ProdFam[[#Headers],[Test]],(VLOOKUP(Data[[#This Row],[Product Family]],ProdFam[],3,FALSE)),(VLOOKUP(Data[[#This Row],[Product Family]],ProdFam[],2,FALSE))))</f>
        <v>256</v>
      </c>
      <c r="L670" s="1">
        <v>210</v>
      </c>
      <c r="M670" s="1">
        <v>8</v>
      </c>
      <c r="N670" s="7">
        <f>IFERROR(Data[[#This Row],[Actual Time]]/Data[[#This Row],[QTY Complete]],"")</f>
        <v>26.25</v>
      </c>
      <c r="O670" s="7">
        <f>IF(I670=ProdFam[[#Headers],[Test]],(VLOOKUP(Data[[#This Row],[Product Family]],ProdFam[],3,FALSE)),(VLOOKUP(Data[[#This Row],[Product Family]],ProdFam[],2,FALSE)))</f>
        <v>32</v>
      </c>
    </row>
    <row r="671" spans="2:16" x14ac:dyDescent="0.25">
      <c r="B671" s="1">
        <f>WEEKNUM(Data[[#This Row],[Date]],1)</f>
        <v>48</v>
      </c>
      <c r="C671" s="15">
        <f>YEAR(Data[[#This Row],[Date]])</f>
        <v>2019</v>
      </c>
      <c r="D671" s="5">
        <v>43794</v>
      </c>
      <c r="E671" s="1" t="s">
        <v>131</v>
      </c>
      <c r="F671" s="1">
        <v>29376</v>
      </c>
      <c r="G671" s="1" t="s">
        <v>16</v>
      </c>
      <c r="H671" s="1" t="s">
        <v>113</v>
      </c>
      <c r="I671" s="1" t="s">
        <v>0</v>
      </c>
      <c r="J671" s="1">
        <v>1</v>
      </c>
      <c r="K671" s="1">
        <f>J671*(IF(I671=ProdFam[[#Headers],[Test]],(VLOOKUP(Data[[#This Row],[Product Family]],ProdFam[],3,FALSE)),(VLOOKUP(Data[[#This Row],[Product Family]],ProdFam[],2,FALSE))))</f>
        <v>47</v>
      </c>
      <c r="L671" s="1">
        <v>34</v>
      </c>
      <c r="M671" s="1">
        <v>1</v>
      </c>
      <c r="N671" s="7">
        <f>IFERROR(Data[[#This Row],[Actual Time]]/Data[[#This Row],[QTY Complete]],"")</f>
        <v>34</v>
      </c>
      <c r="O671" s="7">
        <f>IF(I671=ProdFam[[#Headers],[Test]],(VLOOKUP(Data[[#This Row],[Product Family]],ProdFam[],3,FALSE)),(VLOOKUP(Data[[#This Row],[Product Family]],ProdFam[],2,FALSE)))</f>
        <v>47</v>
      </c>
    </row>
    <row r="672" spans="2:16" x14ac:dyDescent="0.25">
      <c r="B672" s="1">
        <f>WEEKNUM(Data[[#This Row],[Date]],1)</f>
        <v>48</v>
      </c>
      <c r="C672" s="15">
        <f>YEAR(Data[[#This Row],[Date]])</f>
        <v>2019</v>
      </c>
      <c r="D672" s="5">
        <v>43794</v>
      </c>
      <c r="E672" s="1" t="s">
        <v>131</v>
      </c>
      <c r="F672" s="1">
        <v>29397</v>
      </c>
      <c r="G672" s="1" t="s">
        <v>25</v>
      </c>
      <c r="H672" s="1" t="s">
        <v>113</v>
      </c>
      <c r="I672" s="1" t="s">
        <v>0</v>
      </c>
      <c r="J672" s="1">
        <v>10</v>
      </c>
      <c r="K672" s="1">
        <f>J672*(IF(I672=ProdFam[[#Headers],[Test]],(VLOOKUP(Data[[#This Row],[Product Family]],ProdFam[],3,FALSE)),(VLOOKUP(Data[[#This Row],[Product Family]],ProdFam[],2,FALSE))))</f>
        <v>470</v>
      </c>
      <c r="L672" s="1">
        <v>360</v>
      </c>
      <c r="M672" s="1">
        <v>8</v>
      </c>
      <c r="N672" s="7">
        <f>IFERROR(Data[[#This Row],[Actual Time]]/Data[[#This Row],[QTY Complete]],"")</f>
        <v>45</v>
      </c>
      <c r="O672" s="7">
        <f>IF(I672=ProdFam[[#Headers],[Test]],(VLOOKUP(Data[[#This Row],[Product Family]],ProdFam[],3,FALSE)),(VLOOKUP(Data[[#This Row],[Product Family]],ProdFam[],2,FALSE)))</f>
        <v>47</v>
      </c>
    </row>
    <row r="673" spans="2:15" x14ac:dyDescent="0.25">
      <c r="B673" s="1">
        <f>WEEKNUM(Data[[#This Row],[Date]],1)</f>
        <v>48</v>
      </c>
      <c r="C673" s="15">
        <f>YEAR(Data[[#This Row],[Date]])</f>
        <v>2019</v>
      </c>
      <c r="D673" s="5">
        <v>43794</v>
      </c>
      <c r="E673" s="1" t="s">
        <v>118</v>
      </c>
      <c r="F673" s="1">
        <v>29394</v>
      </c>
      <c r="G673" s="1" t="s">
        <v>28</v>
      </c>
      <c r="H673" s="1" t="s">
        <v>113</v>
      </c>
      <c r="I673" s="1" t="s">
        <v>0</v>
      </c>
      <c r="J673" s="1">
        <v>8</v>
      </c>
      <c r="K673" s="1">
        <f>J673*(IF(I673=ProdFam[[#Headers],[Test]],(VLOOKUP(Data[[#This Row],[Product Family]],ProdFam[],3,FALSE)),(VLOOKUP(Data[[#This Row],[Product Family]],ProdFam[],2,FALSE))))</f>
        <v>376</v>
      </c>
      <c r="L673" s="1">
        <v>120</v>
      </c>
      <c r="M673" s="1">
        <v>8</v>
      </c>
      <c r="N673" s="7">
        <f>IFERROR(Data[[#This Row],[Actual Time]]/Data[[#This Row],[QTY Complete]],"")</f>
        <v>15</v>
      </c>
      <c r="O673" s="7">
        <f>IF(I673=ProdFam[[#Headers],[Test]],(VLOOKUP(Data[[#This Row],[Product Family]],ProdFam[],3,FALSE)),(VLOOKUP(Data[[#This Row],[Product Family]],ProdFam[],2,FALSE)))</f>
        <v>47</v>
      </c>
    </row>
    <row r="674" spans="2:15" x14ac:dyDescent="0.25">
      <c r="B674" s="1">
        <f>WEEKNUM(Data[[#This Row],[Date]],1)</f>
        <v>48</v>
      </c>
      <c r="C674" s="15">
        <f>YEAR(Data[[#This Row],[Date]])</f>
        <v>2019</v>
      </c>
      <c r="D674" s="5">
        <v>43794</v>
      </c>
      <c r="E674" s="1" t="s">
        <v>118</v>
      </c>
      <c r="F674" s="1">
        <v>29430</v>
      </c>
      <c r="G674" s="1" t="s">
        <v>147</v>
      </c>
      <c r="H674" s="1" t="s">
        <v>112</v>
      </c>
      <c r="I674" s="1" t="s">
        <v>0</v>
      </c>
      <c r="J674" s="1">
        <v>3</v>
      </c>
      <c r="K674" s="1">
        <f>J674*(IF(I674=ProdFam[[#Headers],[Test]],(VLOOKUP(Data[[#This Row],[Product Family]],ProdFam[],3,FALSE)),(VLOOKUP(Data[[#This Row],[Product Family]],ProdFam[],2,FALSE))))</f>
        <v>30</v>
      </c>
      <c r="L674" s="1">
        <v>22</v>
      </c>
      <c r="M674" s="1">
        <v>3</v>
      </c>
      <c r="N674" s="7">
        <f>IFERROR(Data[[#This Row],[Actual Time]]/Data[[#This Row],[QTY Complete]],"")</f>
        <v>7.333333333333333</v>
      </c>
      <c r="O674" s="7">
        <f>IF(I674=ProdFam[[#Headers],[Test]],(VLOOKUP(Data[[#This Row],[Product Family]],ProdFam[],3,FALSE)),(VLOOKUP(Data[[#This Row],[Product Family]],ProdFam[],2,FALSE)))</f>
        <v>10</v>
      </c>
    </row>
    <row r="675" spans="2:15" x14ac:dyDescent="0.25">
      <c r="B675" s="1">
        <f>WEEKNUM(Data[[#This Row],[Date]],1)</f>
        <v>48</v>
      </c>
      <c r="C675" s="15">
        <f>YEAR(Data[[#This Row],[Date]])</f>
        <v>2019</v>
      </c>
      <c r="D675" s="5">
        <v>43794</v>
      </c>
      <c r="E675" s="1" t="s">
        <v>118</v>
      </c>
      <c r="F675" s="1">
        <v>29367</v>
      </c>
      <c r="G675" s="1" t="s">
        <v>148</v>
      </c>
      <c r="H675" s="1" t="s">
        <v>113</v>
      </c>
      <c r="I675" s="1" t="s">
        <v>0</v>
      </c>
      <c r="J675" s="1">
        <v>3</v>
      </c>
      <c r="K675" s="1">
        <f>J675*(IF(I675=ProdFam[[#Headers],[Test]],(VLOOKUP(Data[[#This Row],[Product Family]],ProdFam[],3,FALSE)),(VLOOKUP(Data[[#This Row],[Product Family]],ProdFam[],2,FALSE))))</f>
        <v>141</v>
      </c>
      <c r="L675" s="1">
        <v>250</v>
      </c>
      <c r="M675" s="1">
        <v>0</v>
      </c>
      <c r="N675" s="7" t="str">
        <f>IFERROR(Data[[#This Row],[Actual Time]]/Data[[#This Row],[QTY Complete]],"")</f>
        <v/>
      </c>
      <c r="O675" s="7">
        <f>IF(I675=ProdFam[[#Headers],[Test]],(VLOOKUP(Data[[#This Row],[Product Family]],ProdFam[],3,FALSE)),(VLOOKUP(Data[[#This Row],[Product Family]],ProdFam[],2,FALSE)))</f>
        <v>47</v>
      </c>
    </row>
    <row r="676" spans="2:15" x14ac:dyDescent="0.25">
      <c r="B676" s="1">
        <f>WEEKNUM(Data[[#This Row],[Date]],1)</f>
        <v>48</v>
      </c>
      <c r="C676" s="15">
        <f>YEAR(Data[[#This Row],[Date]])</f>
        <v>2019</v>
      </c>
      <c r="D676" s="5">
        <v>43794</v>
      </c>
      <c r="E676" s="1" t="s">
        <v>122</v>
      </c>
      <c r="F676" s="1" t="s">
        <v>149</v>
      </c>
      <c r="G676" s="1" t="s">
        <v>150</v>
      </c>
      <c r="H676" s="1" t="s">
        <v>115</v>
      </c>
      <c r="I676" s="1" t="s">
        <v>0</v>
      </c>
      <c r="J676" s="1">
        <v>22</v>
      </c>
      <c r="K676" s="1">
        <f>J676*(IF(I676=ProdFam[[#Headers],[Test]],(VLOOKUP(Data[[#This Row],[Product Family]],ProdFam[],3,FALSE)),(VLOOKUP(Data[[#This Row],[Product Family]],ProdFam[],2,FALSE))))</f>
        <v>176</v>
      </c>
      <c r="L676" s="1">
        <v>570</v>
      </c>
      <c r="M676" s="1">
        <v>22</v>
      </c>
      <c r="N676" s="7">
        <f>IFERROR(Data[[#This Row],[Actual Time]]/Data[[#This Row],[QTY Complete]],"")</f>
        <v>25.90909090909091</v>
      </c>
      <c r="O676" s="7">
        <f>IF(I676=ProdFam[[#Headers],[Test]],(VLOOKUP(Data[[#This Row],[Product Family]],ProdFam[],3,FALSE)),(VLOOKUP(Data[[#This Row],[Product Family]],ProdFam[],2,FALSE)))</f>
        <v>8</v>
      </c>
    </row>
    <row r="677" spans="2:15" x14ac:dyDescent="0.25">
      <c r="B677" s="1">
        <f>WEEKNUM(Data[[#This Row],[Date]],1)</f>
        <v>47</v>
      </c>
      <c r="C677" s="15">
        <f>YEAR(Data[[#This Row],[Date]])</f>
        <v>2019</v>
      </c>
      <c r="D677" s="5">
        <v>43791</v>
      </c>
      <c r="E677" s="1" t="s">
        <v>111</v>
      </c>
      <c r="F677" s="1">
        <v>29398</v>
      </c>
      <c r="G677" s="1" t="s">
        <v>26</v>
      </c>
      <c r="H677" s="1" t="s">
        <v>113</v>
      </c>
      <c r="I677" s="1" t="s">
        <v>1</v>
      </c>
      <c r="J677" s="1">
        <v>5</v>
      </c>
      <c r="K677" s="1">
        <f>J677*(IF(I677=ProdFam[[#Headers],[Test]],(VLOOKUP(Data[[#This Row],[Product Family]],ProdFam[],3,FALSE)),(VLOOKUP(Data[[#This Row],[Product Family]],ProdFam[],2,FALSE))))</f>
        <v>160</v>
      </c>
      <c r="L677" s="1">
        <v>120</v>
      </c>
      <c r="M677" s="1">
        <v>5</v>
      </c>
      <c r="N677" s="7">
        <f>IFERROR(Data[[#This Row],[Actual Time]]/Data[[#This Row],[QTY Complete]],"")</f>
        <v>24</v>
      </c>
      <c r="O677" s="7">
        <f>IF(I677=ProdFam[[#Headers],[Test]],(VLOOKUP(Data[[#This Row],[Product Family]],ProdFam[],3,FALSE)),(VLOOKUP(Data[[#This Row],[Product Family]],ProdFam[],2,FALSE)))</f>
        <v>32</v>
      </c>
    </row>
    <row r="678" spans="2:15" x14ac:dyDescent="0.25">
      <c r="B678" s="1">
        <f>WEEKNUM(Data[[#This Row],[Date]],1)</f>
        <v>47</v>
      </c>
      <c r="C678" s="15">
        <f>YEAR(Data[[#This Row],[Date]])</f>
        <v>2019</v>
      </c>
      <c r="D678" s="5">
        <v>43791</v>
      </c>
      <c r="E678" s="1" t="s">
        <v>111</v>
      </c>
      <c r="F678" s="1">
        <v>29368</v>
      </c>
      <c r="G678" s="1" t="s">
        <v>151</v>
      </c>
      <c r="H678" s="1" t="s">
        <v>113</v>
      </c>
      <c r="I678" s="1" t="s">
        <v>1</v>
      </c>
      <c r="J678" s="1">
        <v>3</v>
      </c>
      <c r="K678" s="1">
        <f>J678*(IF(I678=ProdFam[[#Headers],[Test]],(VLOOKUP(Data[[#This Row],[Product Family]],ProdFam[],3,FALSE)),(VLOOKUP(Data[[#This Row],[Product Family]],ProdFam[],2,FALSE))))</f>
        <v>96</v>
      </c>
      <c r="L678" s="1">
        <v>90</v>
      </c>
      <c r="M678" s="1">
        <v>3</v>
      </c>
      <c r="N678" s="7">
        <f>IFERROR(Data[[#This Row],[Actual Time]]/Data[[#This Row],[QTY Complete]],"")</f>
        <v>30</v>
      </c>
      <c r="O678" s="7">
        <f>IF(I678=ProdFam[[#Headers],[Test]],(VLOOKUP(Data[[#This Row],[Product Family]],ProdFam[],3,FALSE)),(VLOOKUP(Data[[#This Row],[Product Family]],ProdFam[],2,FALSE)))</f>
        <v>32</v>
      </c>
    </row>
    <row r="679" spans="2:15" x14ac:dyDescent="0.25">
      <c r="B679" s="1">
        <f>WEEKNUM(Data[[#This Row],[Date]],1)</f>
        <v>47</v>
      </c>
      <c r="C679" s="15">
        <f>YEAR(Data[[#This Row],[Date]])</f>
        <v>2019</v>
      </c>
      <c r="D679" s="5">
        <v>43791</v>
      </c>
      <c r="E679" s="1" t="s">
        <v>111</v>
      </c>
      <c r="F679" s="1">
        <v>29421</v>
      </c>
      <c r="G679" s="1" t="s">
        <v>66</v>
      </c>
      <c r="H679" s="1" t="s">
        <v>113</v>
      </c>
      <c r="I679" s="1" t="s">
        <v>1</v>
      </c>
      <c r="J679" s="1">
        <v>2</v>
      </c>
      <c r="K679" s="1">
        <f>J679*(IF(I679=ProdFam[[#Headers],[Test]],(VLOOKUP(Data[[#This Row],[Product Family]],ProdFam[],3,FALSE)),(VLOOKUP(Data[[#This Row],[Product Family]],ProdFam[],2,FALSE))))</f>
        <v>64</v>
      </c>
      <c r="L679" s="1">
        <v>90</v>
      </c>
      <c r="M679" s="1">
        <v>1</v>
      </c>
      <c r="N679" s="7">
        <f>IFERROR(Data[[#This Row],[Actual Time]]/Data[[#This Row],[QTY Complete]],"")</f>
        <v>90</v>
      </c>
      <c r="O679" s="7">
        <f>IF(I679=ProdFam[[#Headers],[Test]],(VLOOKUP(Data[[#This Row],[Product Family]],ProdFam[],3,FALSE)),(VLOOKUP(Data[[#This Row],[Product Family]],ProdFam[],2,FALSE)))</f>
        <v>32</v>
      </c>
    </row>
    <row r="680" spans="2:15" x14ac:dyDescent="0.25">
      <c r="B680" s="1">
        <f>WEEKNUM(Data[[#This Row],[Date]],1)</f>
        <v>47</v>
      </c>
      <c r="C680" s="15">
        <f>YEAR(Data[[#This Row],[Date]])</f>
        <v>2019</v>
      </c>
      <c r="D680" s="5">
        <v>43791</v>
      </c>
      <c r="E680" t="s">
        <v>131</v>
      </c>
      <c r="F680" s="1">
        <v>29376</v>
      </c>
      <c r="G680" s="1" t="s">
        <v>16</v>
      </c>
      <c r="H680" s="1" t="s">
        <v>113</v>
      </c>
      <c r="I680" s="1" t="s">
        <v>0</v>
      </c>
      <c r="J680" s="1">
        <v>10</v>
      </c>
      <c r="K680" s="1">
        <f>J680*(IF(I680=ProdFam[[#Headers],[Test]],(VLOOKUP(Data[[#This Row],[Product Family]],ProdFam[],3,FALSE)),(VLOOKUP(Data[[#This Row],[Product Family]],ProdFam[],2,FALSE))))</f>
        <v>470</v>
      </c>
      <c r="L680" s="1">
        <v>280</v>
      </c>
      <c r="M680" s="1">
        <v>9</v>
      </c>
      <c r="N680" s="7">
        <f>IFERROR(Data[[#This Row],[Actual Time]]/Data[[#This Row],[QTY Complete]],"")</f>
        <v>31.111111111111111</v>
      </c>
      <c r="O680" s="7">
        <f>IF(I680=ProdFam[[#Headers],[Test]],(VLOOKUP(Data[[#This Row],[Product Family]],ProdFam[],3,FALSE)),(VLOOKUP(Data[[#This Row],[Product Family]],ProdFam[],2,FALSE)))</f>
        <v>47</v>
      </c>
    </row>
    <row r="681" spans="2:15" x14ac:dyDescent="0.25">
      <c r="B681" s="1">
        <f>WEEKNUM(Data[[#This Row],[Date]],1)</f>
        <v>47</v>
      </c>
      <c r="C681" s="15">
        <f>YEAR(Data[[#This Row],[Date]])</f>
        <v>2019</v>
      </c>
      <c r="D681" s="5">
        <v>43791</v>
      </c>
      <c r="E681" s="1" t="s">
        <v>118</v>
      </c>
      <c r="F681" s="1">
        <v>29421</v>
      </c>
      <c r="G681" s="1" t="s">
        <v>66</v>
      </c>
      <c r="H681" s="1" t="s">
        <v>113</v>
      </c>
      <c r="I681" s="1" t="s">
        <v>0</v>
      </c>
      <c r="J681" s="1">
        <v>2</v>
      </c>
      <c r="K681" s="1">
        <f>J681*(IF(I681=ProdFam[[#Headers],[Test]],(VLOOKUP(Data[[#This Row],[Product Family]],ProdFam[],3,FALSE)),(VLOOKUP(Data[[#This Row],[Product Family]],ProdFam[],2,FALSE))))</f>
        <v>94</v>
      </c>
      <c r="L681" s="1">
        <v>70</v>
      </c>
      <c r="M681" s="1">
        <v>2</v>
      </c>
      <c r="N681" s="7">
        <f>IFERROR(Data[[#This Row],[Actual Time]]/Data[[#This Row],[QTY Complete]],"")</f>
        <v>35</v>
      </c>
      <c r="O681" s="7">
        <f>IF(I681=ProdFam[[#Headers],[Test]],(VLOOKUP(Data[[#This Row],[Product Family]],ProdFam[],3,FALSE)),(VLOOKUP(Data[[#This Row],[Product Family]],ProdFam[],2,FALSE)))</f>
        <v>47</v>
      </c>
    </row>
    <row r="682" spans="2:15" x14ac:dyDescent="0.25">
      <c r="B682" s="1">
        <f>WEEKNUM(Data[[#This Row],[Date]],1)</f>
        <v>47</v>
      </c>
      <c r="C682" s="15">
        <f>YEAR(Data[[#This Row],[Date]])</f>
        <v>2019</v>
      </c>
      <c r="D682" s="5">
        <v>43791</v>
      </c>
      <c r="E682" s="1" t="s">
        <v>118</v>
      </c>
      <c r="F682" s="1">
        <v>29394</v>
      </c>
      <c r="G682" s="1" t="s">
        <v>28</v>
      </c>
      <c r="H682" s="1" t="s">
        <v>113</v>
      </c>
      <c r="I682" s="1" t="s">
        <v>0</v>
      </c>
      <c r="J682" s="1">
        <v>8</v>
      </c>
      <c r="K682" s="1">
        <f>J682*(IF(I682=ProdFam[[#Headers],[Test]],(VLOOKUP(Data[[#This Row],[Product Family]],ProdFam[],3,FALSE)),(VLOOKUP(Data[[#This Row],[Product Family]],ProdFam[],2,FALSE))))</f>
        <v>376</v>
      </c>
      <c r="L682" s="1">
        <v>125</v>
      </c>
      <c r="M682" s="1">
        <v>0</v>
      </c>
      <c r="N682" s="7" t="str">
        <f>IFERROR(Data[[#This Row],[Actual Time]]/Data[[#This Row],[QTY Complete]],"")</f>
        <v/>
      </c>
      <c r="O682" s="7">
        <f>IF(I682=ProdFam[[#Headers],[Test]],(VLOOKUP(Data[[#This Row],[Product Family]],ProdFam[],3,FALSE)),(VLOOKUP(Data[[#This Row],[Product Family]],ProdFam[],2,FALSE)))</f>
        <v>47</v>
      </c>
    </row>
    <row r="683" spans="2:15" x14ac:dyDescent="0.25">
      <c r="B683" s="1">
        <f>WEEKNUM(Data[[#This Row],[Date]],1)</f>
        <v>47</v>
      </c>
      <c r="C683" s="15">
        <f>YEAR(Data[[#This Row],[Date]])</f>
        <v>2019</v>
      </c>
      <c r="D683" s="5">
        <v>43791</v>
      </c>
      <c r="E683" s="1" t="s">
        <v>118</v>
      </c>
      <c r="F683" s="1">
        <v>29434</v>
      </c>
      <c r="G683" s="1" t="s">
        <v>152</v>
      </c>
      <c r="H683" s="1" t="s">
        <v>115</v>
      </c>
      <c r="I683" s="1" t="s">
        <v>0</v>
      </c>
      <c r="J683" s="1">
        <v>13</v>
      </c>
      <c r="K683" s="1">
        <f>J683*(IF(I683=ProdFam[[#Headers],[Test]],(VLOOKUP(Data[[#This Row],[Product Family]],ProdFam[],3,FALSE)),(VLOOKUP(Data[[#This Row],[Product Family]],ProdFam[],2,FALSE))))</f>
        <v>104</v>
      </c>
      <c r="L683" s="1">
        <v>40</v>
      </c>
      <c r="M683" s="1">
        <v>13</v>
      </c>
      <c r="N683" s="7">
        <f>IFERROR(Data[[#This Row],[Actual Time]]/Data[[#This Row],[QTY Complete]],"")</f>
        <v>3.0769230769230771</v>
      </c>
      <c r="O683" s="7">
        <f>IF(I683=ProdFam[[#Headers],[Test]],(VLOOKUP(Data[[#This Row],[Product Family]],ProdFam[],3,FALSE)),(VLOOKUP(Data[[#This Row],[Product Family]],ProdFam[],2,FALSE)))</f>
        <v>8</v>
      </c>
    </row>
    <row r="684" spans="2:15" x14ac:dyDescent="0.25">
      <c r="B684" s="1">
        <f>WEEKNUM(Data[[#This Row],[Date]],1)</f>
        <v>47</v>
      </c>
      <c r="C684" s="15">
        <f>YEAR(Data[[#This Row],[Date]])</f>
        <v>2019</v>
      </c>
      <c r="D684" s="5">
        <v>43791</v>
      </c>
      <c r="E684" s="1" t="s">
        <v>118</v>
      </c>
      <c r="F684" s="1">
        <v>29394</v>
      </c>
      <c r="G684" s="1" t="s">
        <v>28</v>
      </c>
      <c r="H684" s="1" t="s">
        <v>113</v>
      </c>
      <c r="I684" s="1" t="s">
        <v>0</v>
      </c>
      <c r="J684" s="1">
        <v>8</v>
      </c>
      <c r="K684" s="1">
        <f>J684*(IF(I684=ProdFam[[#Headers],[Test]],(VLOOKUP(Data[[#This Row],[Product Family]],ProdFam[],3,FALSE)),(VLOOKUP(Data[[#This Row],[Product Family]],ProdFam[],2,FALSE))))</f>
        <v>376</v>
      </c>
      <c r="L684" s="1">
        <v>190</v>
      </c>
      <c r="M684" s="1">
        <v>0</v>
      </c>
      <c r="N684" s="7" t="str">
        <f>IFERROR(Data[[#This Row],[Actual Time]]/Data[[#This Row],[QTY Complete]],"")</f>
        <v/>
      </c>
      <c r="O684" s="7">
        <f>IF(I684=ProdFam[[#Headers],[Test]],(VLOOKUP(Data[[#This Row],[Product Family]],ProdFam[],3,FALSE)),(VLOOKUP(Data[[#This Row],[Product Family]],ProdFam[],2,FALSE)))</f>
        <v>47</v>
      </c>
    </row>
    <row r="685" spans="2:15" x14ac:dyDescent="0.25">
      <c r="B685" s="1">
        <f>WEEKNUM(Data[[#This Row],[Date]],1)</f>
        <v>47</v>
      </c>
      <c r="C685" s="15">
        <f>YEAR(Data[[#This Row],[Date]])</f>
        <v>2019</v>
      </c>
      <c r="D685" s="5">
        <v>43790</v>
      </c>
      <c r="E685" s="1" t="s">
        <v>131</v>
      </c>
      <c r="F685" s="1">
        <v>29369</v>
      </c>
      <c r="G685" s="1" t="s">
        <v>16</v>
      </c>
      <c r="H685" s="1" t="s">
        <v>113</v>
      </c>
      <c r="I685" s="1" t="s">
        <v>0</v>
      </c>
      <c r="J685" s="1">
        <v>4</v>
      </c>
      <c r="K685" s="1">
        <f>J685*(IF(I685=ProdFam[[#Headers],[Test]],(VLOOKUP(Data[[#This Row],[Product Family]],ProdFam[],3,FALSE)),(VLOOKUP(Data[[#This Row],[Product Family]],ProdFam[],2,FALSE))))</f>
        <v>188</v>
      </c>
      <c r="L685" s="1">
        <v>60</v>
      </c>
      <c r="M685" s="1">
        <v>4</v>
      </c>
      <c r="N685" s="7">
        <f>IFERROR(Data[[#This Row],[Actual Time]]/Data[[#This Row],[QTY Complete]],"")</f>
        <v>15</v>
      </c>
      <c r="O685" s="7">
        <f>IF(I685=ProdFam[[#Headers],[Test]],(VLOOKUP(Data[[#This Row],[Product Family]],ProdFam[],3,FALSE)),(VLOOKUP(Data[[#This Row],[Product Family]],ProdFam[],2,FALSE)))</f>
        <v>47</v>
      </c>
    </row>
    <row r="686" spans="2:15" x14ac:dyDescent="0.25">
      <c r="B686" s="1">
        <f>WEEKNUM(Data[[#This Row],[Date]],1)</f>
        <v>47</v>
      </c>
      <c r="C686" s="15">
        <f>YEAR(Data[[#This Row],[Date]])</f>
        <v>2019</v>
      </c>
      <c r="D686" s="5">
        <v>43790</v>
      </c>
      <c r="E686" s="1" t="s">
        <v>131</v>
      </c>
      <c r="F686" s="1">
        <v>29376</v>
      </c>
      <c r="G686" s="1" t="s">
        <v>16</v>
      </c>
      <c r="H686" s="1" t="s">
        <v>113</v>
      </c>
      <c r="I686" s="1" t="s">
        <v>0</v>
      </c>
      <c r="J686" s="1">
        <v>10</v>
      </c>
      <c r="K686" s="1">
        <f>J686*(IF(I686=ProdFam[[#Headers],[Test]],(VLOOKUP(Data[[#This Row],[Product Family]],ProdFam[],3,FALSE)),(VLOOKUP(Data[[#This Row],[Product Family]],ProdFam[],2,FALSE))))</f>
        <v>470</v>
      </c>
      <c r="L686" s="1">
        <v>240</v>
      </c>
      <c r="M686" s="1">
        <v>0</v>
      </c>
      <c r="N686" s="7" t="str">
        <f>IFERROR(Data[[#This Row],[Actual Time]]/Data[[#This Row],[QTY Complete]],"")</f>
        <v/>
      </c>
      <c r="O686" s="7">
        <f>IF(I686=ProdFam[[#Headers],[Test]],(VLOOKUP(Data[[#This Row],[Product Family]],ProdFam[],3,FALSE)),(VLOOKUP(Data[[#This Row],[Product Family]],ProdFam[],2,FALSE)))</f>
        <v>47</v>
      </c>
    </row>
    <row r="687" spans="2:15" x14ac:dyDescent="0.25">
      <c r="B687" s="1">
        <f>WEEKNUM(Data[[#This Row],[Date]],1)</f>
        <v>47</v>
      </c>
      <c r="C687" s="15">
        <f>YEAR(Data[[#This Row],[Date]])</f>
        <v>2019</v>
      </c>
      <c r="D687" s="5">
        <v>43790</v>
      </c>
      <c r="E687" s="1" t="s">
        <v>118</v>
      </c>
      <c r="F687" s="1">
        <v>29378</v>
      </c>
      <c r="G687" s="1" t="s">
        <v>153</v>
      </c>
      <c r="H687" s="1" t="s">
        <v>113</v>
      </c>
      <c r="I687" s="1" t="s">
        <v>0</v>
      </c>
      <c r="J687" s="1">
        <v>1</v>
      </c>
      <c r="K687" s="1">
        <f>J687*(IF(I687=ProdFam[[#Headers],[Test]],(VLOOKUP(Data[[#This Row],[Product Family]],ProdFam[],3,FALSE)),(VLOOKUP(Data[[#This Row],[Product Family]],ProdFam[],2,FALSE))))</f>
        <v>47</v>
      </c>
      <c r="L687" s="1">
        <v>10</v>
      </c>
      <c r="M687" s="1">
        <v>1</v>
      </c>
      <c r="N687" s="7">
        <f>IFERROR(Data[[#This Row],[Actual Time]]/Data[[#This Row],[QTY Complete]],"")</f>
        <v>10</v>
      </c>
      <c r="O687" s="7">
        <f>IF(I687=ProdFam[[#Headers],[Test]],(VLOOKUP(Data[[#This Row],[Product Family]],ProdFam[],3,FALSE)),(VLOOKUP(Data[[#This Row],[Product Family]],ProdFam[],2,FALSE)))</f>
        <v>47</v>
      </c>
    </row>
    <row r="688" spans="2:15" x14ac:dyDescent="0.25">
      <c r="B688" s="1">
        <f>WEEKNUM(Data[[#This Row],[Date]],1)</f>
        <v>47</v>
      </c>
      <c r="C688" s="15">
        <f>YEAR(Data[[#This Row],[Date]])</f>
        <v>2019</v>
      </c>
      <c r="D688" s="5">
        <v>43790</v>
      </c>
      <c r="E688" s="1" t="s">
        <v>118</v>
      </c>
      <c r="F688" s="1">
        <v>29368</v>
      </c>
      <c r="G688" s="1" t="s">
        <v>151</v>
      </c>
      <c r="H688" s="1" t="s">
        <v>113</v>
      </c>
      <c r="I688" s="1" t="s">
        <v>0</v>
      </c>
      <c r="J688" s="1">
        <v>3</v>
      </c>
      <c r="K688" s="1">
        <f>J688*(IF(I688=ProdFam[[#Headers],[Test]],(VLOOKUP(Data[[#This Row],[Product Family]],ProdFam[],3,FALSE)),(VLOOKUP(Data[[#This Row],[Product Family]],ProdFam[],2,FALSE))))</f>
        <v>141</v>
      </c>
      <c r="L688" s="1">
        <v>135</v>
      </c>
      <c r="M688" s="1">
        <v>3</v>
      </c>
      <c r="N688" s="7">
        <f>IFERROR(Data[[#This Row],[Actual Time]]/Data[[#This Row],[QTY Complete]],"")</f>
        <v>45</v>
      </c>
      <c r="O688" s="7">
        <f>IF(I688=ProdFam[[#Headers],[Test]],(VLOOKUP(Data[[#This Row],[Product Family]],ProdFam[],3,FALSE)),(VLOOKUP(Data[[#This Row],[Product Family]],ProdFam[],2,FALSE)))</f>
        <v>47</v>
      </c>
    </row>
    <row r="689" spans="2:15" x14ac:dyDescent="0.25">
      <c r="B689" s="1">
        <f>WEEKNUM(Data[[#This Row],[Date]],1)</f>
        <v>47</v>
      </c>
      <c r="C689" s="15">
        <f>YEAR(Data[[#This Row],[Date]])</f>
        <v>2019</v>
      </c>
      <c r="D689" s="5">
        <v>43790</v>
      </c>
      <c r="E689" s="1" t="s">
        <v>118</v>
      </c>
      <c r="F689" s="1">
        <v>29398</v>
      </c>
      <c r="G689" s="1" t="s">
        <v>26</v>
      </c>
      <c r="H689" s="1" t="s">
        <v>113</v>
      </c>
      <c r="I689" s="1" t="s">
        <v>0</v>
      </c>
      <c r="J689" s="1">
        <v>5</v>
      </c>
      <c r="K689" s="1">
        <f>J689*(IF(I689=ProdFam[[#Headers],[Test]],(VLOOKUP(Data[[#This Row],[Product Family]],ProdFam[],3,FALSE)),(VLOOKUP(Data[[#This Row],[Product Family]],ProdFam[],2,FALSE))))</f>
        <v>235</v>
      </c>
      <c r="L689" s="1">
        <v>40</v>
      </c>
      <c r="M689" s="1">
        <v>5</v>
      </c>
      <c r="N689" s="7">
        <f>IFERROR(Data[[#This Row],[Actual Time]]/Data[[#This Row],[QTY Complete]],"")</f>
        <v>8</v>
      </c>
      <c r="O689" s="7">
        <f>IF(I689=ProdFam[[#Headers],[Test]],(VLOOKUP(Data[[#This Row],[Product Family]],ProdFam[],3,FALSE)),(VLOOKUP(Data[[#This Row],[Product Family]],ProdFam[],2,FALSE)))</f>
        <v>47</v>
      </c>
    </row>
    <row r="690" spans="2:15" x14ac:dyDescent="0.25">
      <c r="B690" s="1">
        <f>WEEKNUM(Data[[#This Row],[Date]],1)</f>
        <v>47</v>
      </c>
      <c r="C690" s="15">
        <f>YEAR(Data[[#This Row],[Date]])</f>
        <v>2019</v>
      </c>
      <c r="D690" s="5">
        <v>43790</v>
      </c>
      <c r="E690" s="1" t="s">
        <v>118</v>
      </c>
      <c r="F690" s="1">
        <v>29421</v>
      </c>
      <c r="G690" s="1" t="s">
        <v>66</v>
      </c>
      <c r="H690" s="1" t="s">
        <v>113</v>
      </c>
      <c r="I690" s="1" t="s">
        <v>0</v>
      </c>
      <c r="J690" s="1">
        <v>2</v>
      </c>
      <c r="K690" s="1">
        <f>J690*(IF(I690=ProdFam[[#Headers],[Test]],(VLOOKUP(Data[[#This Row],[Product Family]],ProdFam[],3,FALSE)),(VLOOKUP(Data[[#This Row],[Product Family]],ProdFam[],2,FALSE))))</f>
        <v>94</v>
      </c>
      <c r="L690" s="1">
        <v>20</v>
      </c>
      <c r="M690" s="1">
        <v>0</v>
      </c>
      <c r="N690" s="7" t="str">
        <f>IFERROR(Data[[#This Row],[Actual Time]]/Data[[#This Row],[QTY Complete]],"")</f>
        <v/>
      </c>
      <c r="O690" s="7">
        <f>IF(I690=ProdFam[[#Headers],[Test]],(VLOOKUP(Data[[#This Row],[Product Family]],ProdFam[],3,FALSE)),(VLOOKUP(Data[[#This Row],[Product Family]],ProdFam[],2,FALSE)))</f>
        <v>47</v>
      </c>
    </row>
    <row r="691" spans="2:15" x14ac:dyDescent="0.25">
      <c r="B691" s="1">
        <f>WEEKNUM(Data[[#This Row],[Date]],1)</f>
        <v>47</v>
      </c>
      <c r="C691" s="15">
        <f>YEAR(Data[[#This Row],[Date]])</f>
        <v>2019</v>
      </c>
      <c r="D691" s="5">
        <v>43790</v>
      </c>
      <c r="E691" s="1" t="s">
        <v>122</v>
      </c>
      <c r="F691" s="1">
        <v>29331</v>
      </c>
      <c r="G691" s="1" t="s">
        <v>17</v>
      </c>
      <c r="H691" s="1" t="s">
        <v>113</v>
      </c>
      <c r="I691" s="1" t="s">
        <v>0</v>
      </c>
      <c r="J691" s="1">
        <v>5</v>
      </c>
      <c r="K691" s="1">
        <f>J691*(IF(I691=ProdFam[[#Headers],[Test]],(VLOOKUP(Data[[#This Row],[Product Family]],ProdFam[],3,FALSE)),(VLOOKUP(Data[[#This Row],[Product Family]],ProdFam[],2,FALSE))))</f>
        <v>235</v>
      </c>
      <c r="L691" s="1">
        <v>120</v>
      </c>
      <c r="M691" s="1">
        <v>5</v>
      </c>
      <c r="N691" s="7">
        <f>IFERROR(Data[[#This Row],[Actual Time]]/Data[[#This Row],[QTY Complete]],"")</f>
        <v>24</v>
      </c>
      <c r="O691" s="7">
        <f>IF(I691=ProdFam[[#Headers],[Test]],(VLOOKUP(Data[[#This Row],[Product Family]],ProdFam[],3,FALSE)),(VLOOKUP(Data[[#This Row],[Product Family]],ProdFam[],2,FALSE)))</f>
        <v>47</v>
      </c>
    </row>
    <row r="692" spans="2:15" x14ac:dyDescent="0.25">
      <c r="B692" s="1">
        <f>WEEKNUM(Data[[#This Row],[Date]],1)</f>
        <v>47</v>
      </c>
      <c r="C692" s="15">
        <f>YEAR(Data[[#This Row],[Date]])</f>
        <v>2019</v>
      </c>
      <c r="D692" s="5">
        <v>43790</v>
      </c>
      <c r="E692" s="1" t="s">
        <v>122</v>
      </c>
      <c r="F692" s="1">
        <v>29377</v>
      </c>
      <c r="G692" s="1" t="s">
        <v>144</v>
      </c>
      <c r="H692" s="1" t="s">
        <v>115</v>
      </c>
      <c r="I692" s="1" t="s">
        <v>0</v>
      </c>
      <c r="J692" s="1">
        <v>13</v>
      </c>
      <c r="K692" s="1">
        <f>J692*(IF(I692=ProdFam[[#Headers],[Test]],(VLOOKUP(Data[[#This Row],[Product Family]],ProdFam[],3,FALSE)),(VLOOKUP(Data[[#This Row],[Product Family]],ProdFam[],2,FALSE))))</f>
        <v>104</v>
      </c>
      <c r="L692" s="1">
        <v>13</v>
      </c>
      <c r="M692" s="1">
        <v>13</v>
      </c>
      <c r="N692" s="7">
        <f>IFERROR(Data[[#This Row],[Actual Time]]/Data[[#This Row],[QTY Complete]],"")</f>
        <v>1</v>
      </c>
      <c r="O692" s="7">
        <f>IF(I692=ProdFam[[#Headers],[Test]],(VLOOKUP(Data[[#This Row],[Product Family]],ProdFam[],3,FALSE)),(VLOOKUP(Data[[#This Row],[Product Family]],ProdFam[],2,FALSE)))</f>
        <v>8</v>
      </c>
    </row>
    <row r="693" spans="2:15" x14ac:dyDescent="0.25">
      <c r="B693" s="1">
        <f>WEEKNUM(Data[[#This Row],[Date]],1)</f>
        <v>47</v>
      </c>
      <c r="C693" s="15">
        <f>YEAR(Data[[#This Row],[Date]])</f>
        <v>2019</v>
      </c>
      <c r="D693" s="5">
        <v>43790</v>
      </c>
      <c r="E693" s="1" t="s">
        <v>122</v>
      </c>
      <c r="F693" s="1">
        <v>29398</v>
      </c>
      <c r="G693" s="1" t="s">
        <v>26</v>
      </c>
      <c r="H693" s="1" t="s">
        <v>113</v>
      </c>
      <c r="I693" s="1" t="s">
        <v>0</v>
      </c>
      <c r="J693" s="1">
        <v>5</v>
      </c>
      <c r="K693" s="1">
        <f>J693*(IF(I693=ProdFam[[#Headers],[Test]],(VLOOKUP(Data[[#This Row],[Product Family]],ProdFam[],3,FALSE)),(VLOOKUP(Data[[#This Row],[Product Family]],ProdFam[],2,FALSE))))</f>
        <v>235</v>
      </c>
      <c r="L693" s="1">
        <v>195</v>
      </c>
      <c r="M693" s="1">
        <v>0</v>
      </c>
      <c r="N693" s="7" t="str">
        <f>IFERROR(Data[[#This Row],[Actual Time]]/Data[[#This Row],[QTY Complete]],"")</f>
        <v/>
      </c>
      <c r="O693" s="7">
        <f>IF(I693=ProdFam[[#Headers],[Test]],(VLOOKUP(Data[[#This Row],[Product Family]],ProdFam[],3,FALSE)),(VLOOKUP(Data[[#This Row],[Product Family]],ProdFam[],2,FALSE)))</f>
        <v>47</v>
      </c>
    </row>
    <row r="694" spans="2:15" x14ac:dyDescent="0.25">
      <c r="B694" s="1">
        <f>WEEKNUM(Data[[#This Row],[Date]],1)</f>
        <v>47</v>
      </c>
      <c r="C694" s="15">
        <f>YEAR(Data[[#This Row],[Date]])</f>
        <v>2019</v>
      </c>
      <c r="D694" s="5">
        <v>43790</v>
      </c>
      <c r="E694" s="1" t="s">
        <v>119</v>
      </c>
      <c r="F694" s="1">
        <v>29328</v>
      </c>
      <c r="G694" s="1" t="s">
        <v>11</v>
      </c>
      <c r="H694" s="1" t="s">
        <v>113</v>
      </c>
      <c r="I694" s="1" t="s">
        <v>1</v>
      </c>
      <c r="J694" s="1">
        <v>4</v>
      </c>
      <c r="K694" s="1">
        <f>J694*(IF(I694=ProdFam[[#Headers],[Test]],(VLOOKUP(Data[[#This Row],[Product Family]],ProdFam[],3,FALSE)),(VLOOKUP(Data[[#This Row],[Product Family]],ProdFam[],2,FALSE))))</f>
        <v>128</v>
      </c>
      <c r="L694" s="1">
        <v>85</v>
      </c>
      <c r="M694" s="1">
        <v>4</v>
      </c>
      <c r="N694" s="7">
        <f>IFERROR(Data[[#This Row],[Actual Time]]/Data[[#This Row],[QTY Complete]],"")</f>
        <v>21.25</v>
      </c>
      <c r="O694" s="7">
        <f>IF(I694=ProdFam[[#Headers],[Test]],(VLOOKUP(Data[[#This Row],[Product Family]],ProdFam[],3,FALSE)),(VLOOKUP(Data[[#This Row],[Product Family]],ProdFam[],2,FALSE)))</f>
        <v>32</v>
      </c>
    </row>
    <row r="695" spans="2:15" x14ac:dyDescent="0.25">
      <c r="B695" s="1">
        <f>WEEKNUM(Data[[#This Row],[Date]],1)</f>
        <v>47</v>
      </c>
      <c r="C695" s="15">
        <f>YEAR(Data[[#This Row],[Date]])</f>
        <v>2019</v>
      </c>
      <c r="D695" s="5">
        <v>43790</v>
      </c>
      <c r="E695" s="1" t="s">
        <v>119</v>
      </c>
      <c r="F695" s="1">
        <v>29291</v>
      </c>
      <c r="G695" s="1" t="s">
        <v>13</v>
      </c>
      <c r="H695" s="1" t="s">
        <v>113</v>
      </c>
      <c r="I695" s="1" t="s">
        <v>1</v>
      </c>
      <c r="J695" s="1">
        <v>4</v>
      </c>
      <c r="K695" s="1">
        <f>J695*(IF(I695=ProdFam[[#Headers],[Test]],(VLOOKUP(Data[[#This Row],[Product Family]],ProdFam[],3,FALSE)),(VLOOKUP(Data[[#This Row],[Product Family]],ProdFam[],2,FALSE))))</f>
        <v>128</v>
      </c>
      <c r="L695" s="1">
        <v>85</v>
      </c>
      <c r="M695" s="1">
        <v>4</v>
      </c>
      <c r="N695" s="7">
        <f>IFERROR(Data[[#This Row],[Actual Time]]/Data[[#This Row],[QTY Complete]],"")</f>
        <v>21.25</v>
      </c>
      <c r="O695" s="7">
        <f>IF(I695=ProdFam[[#Headers],[Test]],(VLOOKUP(Data[[#This Row],[Product Family]],ProdFam[],3,FALSE)),(VLOOKUP(Data[[#This Row],[Product Family]],ProdFam[],2,FALSE)))</f>
        <v>32</v>
      </c>
    </row>
    <row r="696" spans="2:15" x14ac:dyDescent="0.25">
      <c r="B696" s="1">
        <f>WEEKNUM(Data[[#This Row],[Date]],1)</f>
        <v>47</v>
      </c>
      <c r="C696" s="15">
        <f>YEAR(Data[[#This Row],[Date]])</f>
        <v>2019</v>
      </c>
      <c r="D696" s="5">
        <v>43790</v>
      </c>
      <c r="E696" s="1" t="s">
        <v>119</v>
      </c>
      <c r="F696" s="1">
        <v>29378</v>
      </c>
      <c r="G696" s="1" t="s">
        <v>153</v>
      </c>
      <c r="H696" s="1" t="s">
        <v>113</v>
      </c>
      <c r="I696" s="1" t="s">
        <v>1</v>
      </c>
      <c r="J696" s="1">
        <v>1</v>
      </c>
      <c r="K696" s="1">
        <f>J696*(IF(I696=ProdFam[[#Headers],[Test]],(VLOOKUP(Data[[#This Row],[Product Family]],ProdFam[],3,FALSE)),(VLOOKUP(Data[[#This Row],[Product Family]],ProdFam[],2,FALSE))))</f>
        <v>32</v>
      </c>
      <c r="L696" s="1">
        <v>15</v>
      </c>
      <c r="M696" s="1">
        <v>1</v>
      </c>
      <c r="N696" s="7">
        <f>IFERROR(Data[[#This Row],[Actual Time]]/Data[[#This Row],[QTY Complete]],"")</f>
        <v>15</v>
      </c>
      <c r="O696" s="7">
        <f>IF(I696=ProdFam[[#Headers],[Test]],(VLOOKUP(Data[[#This Row],[Product Family]],ProdFam[],3,FALSE)),(VLOOKUP(Data[[#This Row],[Product Family]],ProdFam[],2,FALSE)))</f>
        <v>32</v>
      </c>
    </row>
    <row r="697" spans="2:15" x14ac:dyDescent="0.25">
      <c r="B697" s="1">
        <f>WEEKNUM(Data[[#This Row],[Date]],1)</f>
        <v>47</v>
      </c>
      <c r="C697" s="15">
        <f>YEAR(Data[[#This Row],[Date]])</f>
        <v>2019</v>
      </c>
      <c r="D697" s="5">
        <v>43790</v>
      </c>
      <c r="E697" s="1" t="s">
        <v>119</v>
      </c>
      <c r="F697" s="1">
        <v>29331</v>
      </c>
      <c r="G697" s="1" t="s">
        <v>17</v>
      </c>
      <c r="H697" s="1" t="s">
        <v>113</v>
      </c>
      <c r="I697" s="1" t="s">
        <v>1</v>
      </c>
      <c r="J697" s="1">
        <v>5</v>
      </c>
      <c r="K697" s="1">
        <f>J697*(IF(I697=ProdFam[[#Headers],[Test]],(VLOOKUP(Data[[#This Row],[Product Family]],ProdFam[],3,FALSE)),(VLOOKUP(Data[[#This Row],[Product Family]],ProdFam[],2,FALSE))))</f>
        <v>160</v>
      </c>
      <c r="L697" s="1">
        <v>65</v>
      </c>
      <c r="M697" s="1">
        <v>5</v>
      </c>
      <c r="N697" s="7">
        <f>IFERROR(Data[[#This Row],[Actual Time]]/Data[[#This Row],[QTY Complete]],"")</f>
        <v>13</v>
      </c>
      <c r="O697" s="7">
        <f>IF(I697=ProdFam[[#Headers],[Test]],(VLOOKUP(Data[[#This Row],[Product Family]],ProdFam[],3,FALSE)),(VLOOKUP(Data[[#This Row],[Product Family]],ProdFam[],2,FALSE)))</f>
        <v>32</v>
      </c>
    </row>
    <row r="698" spans="2:15" x14ac:dyDescent="0.25">
      <c r="B698" s="1">
        <f>WEEKNUM(Data[[#This Row],[Date]],1)</f>
        <v>47</v>
      </c>
      <c r="C698" s="15">
        <f>YEAR(Data[[#This Row],[Date]])</f>
        <v>2019</v>
      </c>
      <c r="D698" s="5">
        <v>43790</v>
      </c>
      <c r="E698" s="1" t="s">
        <v>119</v>
      </c>
      <c r="F698" s="1">
        <v>29369</v>
      </c>
      <c r="G698" s="1" t="s">
        <v>16</v>
      </c>
      <c r="H698" s="1" t="s">
        <v>113</v>
      </c>
      <c r="I698" s="1" t="s">
        <v>1</v>
      </c>
      <c r="J698" s="1">
        <v>10</v>
      </c>
      <c r="K698" s="1">
        <f>J698*(IF(I698=ProdFam[[#Headers],[Test]],(VLOOKUP(Data[[#This Row],[Product Family]],ProdFam[],3,FALSE)),(VLOOKUP(Data[[#This Row],[Product Family]],ProdFam[],2,FALSE))))</f>
        <v>320</v>
      </c>
      <c r="L698" s="1">
        <v>140</v>
      </c>
      <c r="M698" s="1">
        <v>9</v>
      </c>
      <c r="N698" s="7">
        <f>IFERROR(Data[[#This Row],[Actual Time]]/Data[[#This Row],[QTY Complete]],"")</f>
        <v>15.555555555555555</v>
      </c>
      <c r="O698" s="7">
        <f>IF(I698=ProdFam[[#Headers],[Test]],(VLOOKUP(Data[[#This Row],[Product Family]],ProdFam[],3,FALSE)),(VLOOKUP(Data[[#This Row],[Product Family]],ProdFam[],2,FALSE)))</f>
        <v>32</v>
      </c>
    </row>
    <row r="699" spans="2:15" x14ac:dyDescent="0.25">
      <c r="B699" s="1">
        <f>WEEKNUM(Data[[#This Row],[Date]],1)</f>
        <v>47</v>
      </c>
      <c r="C699" s="15">
        <f>YEAR(Data[[#This Row],[Date]])</f>
        <v>2019</v>
      </c>
      <c r="D699" s="5">
        <v>43790</v>
      </c>
      <c r="E699" s="1" t="s">
        <v>111</v>
      </c>
      <c r="F699" s="1">
        <v>29276</v>
      </c>
      <c r="G699" s="1" t="s">
        <v>133</v>
      </c>
      <c r="H699" s="1" t="s">
        <v>112</v>
      </c>
      <c r="I699" s="1" t="s">
        <v>1</v>
      </c>
      <c r="J699" s="1">
        <v>15</v>
      </c>
      <c r="K699" s="1">
        <f>J699*(IF(I699=ProdFam[[#Headers],[Test]],(VLOOKUP(Data[[#This Row],[Product Family]],ProdFam[],3,FALSE)),(VLOOKUP(Data[[#This Row],[Product Family]],ProdFam[],2,FALSE))))</f>
        <v>150</v>
      </c>
      <c r="L699" s="1">
        <v>150</v>
      </c>
      <c r="M699" s="1">
        <v>15</v>
      </c>
      <c r="N699" s="7">
        <f>IFERROR(Data[[#This Row],[Actual Time]]/Data[[#This Row],[QTY Complete]],"")</f>
        <v>10</v>
      </c>
      <c r="O699" s="7">
        <f>IF(I699=ProdFam[[#Headers],[Test]],(VLOOKUP(Data[[#This Row],[Product Family]],ProdFam[],3,FALSE)),(VLOOKUP(Data[[#This Row],[Product Family]],ProdFam[],2,FALSE)))</f>
        <v>10</v>
      </c>
    </row>
    <row r="700" spans="2:15" x14ac:dyDescent="0.25">
      <c r="B700" s="1">
        <f>WEEKNUM(Data[[#This Row],[Date]],1)</f>
        <v>47</v>
      </c>
      <c r="C700" s="15">
        <f>YEAR(Data[[#This Row],[Date]])</f>
        <v>2019</v>
      </c>
      <c r="D700" s="5">
        <v>43790</v>
      </c>
      <c r="E700" s="1" t="s">
        <v>111</v>
      </c>
      <c r="F700" s="1">
        <v>29325</v>
      </c>
      <c r="G700" s="1" t="s">
        <v>9</v>
      </c>
      <c r="H700" s="1" t="s">
        <v>112</v>
      </c>
      <c r="I700" s="1" t="s">
        <v>1</v>
      </c>
      <c r="J700" s="1">
        <v>18</v>
      </c>
      <c r="K700" s="1">
        <f>J700*(IF(I700=ProdFam[[#Headers],[Test]],(VLOOKUP(Data[[#This Row],[Product Family]],ProdFam[],3,FALSE)),(VLOOKUP(Data[[#This Row],[Product Family]],ProdFam[],2,FALSE))))</f>
        <v>180</v>
      </c>
      <c r="L700" s="1">
        <v>150</v>
      </c>
      <c r="M700" s="1">
        <v>18</v>
      </c>
      <c r="N700" s="7">
        <f>IFERROR(Data[[#This Row],[Actual Time]]/Data[[#This Row],[QTY Complete]],"")</f>
        <v>8.3333333333333339</v>
      </c>
      <c r="O700" s="7">
        <f>IF(I700=ProdFam[[#Headers],[Test]],(VLOOKUP(Data[[#This Row],[Product Family]],ProdFam[],3,FALSE)),(VLOOKUP(Data[[#This Row],[Product Family]],ProdFam[],2,FALSE)))</f>
        <v>10</v>
      </c>
    </row>
    <row r="701" spans="2:15" x14ac:dyDescent="0.25">
      <c r="B701" s="1">
        <f>WEEKNUM(Data[[#This Row],[Date]],1)</f>
        <v>47</v>
      </c>
      <c r="C701" s="15">
        <f>YEAR(Data[[#This Row],[Date]])</f>
        <v>2020</v>
      </c>
      <c r="D701" s="5">
        <v>44155</v>
      </c>
      <c r="E701" s="1" t="s">
        <v>122</v>
      </c>
      <c r="F701" s="1">
        <v>29292</v>
      </c>
      <c r="G701" s="1" t="s">
        <v>79</v>
      </c>
      <c r="H701" s="1" t="s">
        <v>112</v>
      </c>
      <c r="I701" s="1" t="s">
        <v>0</v>
      </c>
      <c r="J701" s="1">
        <v>6</v>
      </c>
      <c r="K701" s="1">
        <f>J701*(IF(I701=ProdFam[[#Headers],[Test]],(VLOOKUP(Data[[#This Row],[Product Family]],ProdFam[],3,FALSE)),(VLOOKUP(Data[[#This Row],[Product Family]],ProdFam[],2,FALSE))))</f>
        <v>60</v>
      </c>
      <c r="L701" s="1">
        <v>90</v>
      </c>
      <c r="M701" s="1">
        <v>6</v>
      </c>
      <c r="N701" s="7">
        <f>IFERROR(Data[[#This Row],[Actual Time]]/Data[[#This Row],[QTY Complete]],"")</f>
        <v>15</v>
      </c>
      <c r="O701" s="7">
        <f>IF(I701=ProdFam[[#Headers],[Test]],(VLOOKUP(Data[[#This Row],[Product Family]],ProdFam[],3,FALSE)),(VLOOKUP(Data[[#This Row],[Product Family]],ProdFam[],2,FALSE)))</f>
        <v>10</v>
      </c>
    </row>
    <row r="702" spans="2:15" x14ac:dyDescent="0.25">
      <c r="B702" s="1">
        <f>WEEKNUM(Data[[#This Row],[Date]],1)</f>
        <v>47</v>
      </c>
      <c r="C702" s="15">
        <f>YEAR(Data[[#This Row],[Date]])</f>
        <v>2020</v>
      </c>
      <c r="D702" s="5">
        <v>44155</v>
      </c>
      <c r="E702" s="1" t="s">
        <v>122</v>
      </c>
      <c r="F702" s="1">
        <v>29328</v>
      </c>
      <c r="G702" s="1" t="s">
        <v>154</v>
      </c>
      <c r="H702" s="1" t="s">
        <v>113</v>
      </c>
      <c r="I702" s="1" t="s">
        <v>0</v>
      </c>
      <c r="J702" s="1">
        <v>4</v>
      </c>
      <c r="K702" s="1">
        <f>J702*(IF(I702=ProdFam[[#Headers],[Test]],(VLOOKUP(Data[[#This Row],[Product Family]],ProdFam[],3,FALSE)),(VLOOKUP(Data[[#This Row],[Product Family]],ProdFam[],2,FALSE))))</f>
        <v>188</v>
      </c>
      <c r="L702" s="1">
        <v>180</v>
      </c>
      <c r="M702" s="1">
        <v>4</v>
      </c>
      <c r="N702" s="7">
        <f>IFERROR(Data[[#This Row],[Actual Time]]/Data[[#This Row],[QTY Complete]],"")</f>
        <v>45</v>
      </c>
      <c r="O702" s="7">
        <f>IF(I702=ProdFam[[#Headers],[Test]],(VLOOKUP(Data[[#This Row],[Product Family]],ProdFam[],3,FALSE)),(VLOOKUP(Data[[#This Row],[Product Family]],ProdFam[],2,FALSE)))</f>
        <v>47</v>
      </c>
    </row>
    <row r="703" spans="2:15" x14ac:dyDescent="0.25">
      <c r="B703" s="1">
        <f>WEEKNUM(Data[[#This Row],[Date]],1)</f>
        <v>47</v>
      </c>
      <c r="C703" s="15">
        <f>YEAR(Data[[#This Row],[Date]])</f>
        <v>2020</v>
      </c>
      <c r="D703" s="5">
        <v>44155</v>
      </c>
      <c r="E703" s="1" t="s">
        <v>122</v>
      </c>
      <c r="F703" s="1">
        <v>29331</v>
      </c>
      <c r="G703" s="1" t="s">
        <v>17</v>
      </c>
      <c r="H703" s="1" t="s">
        <v>113</v>
      </c>
      <c r="I703" s="1" t="s">
        <v>0</v>
      </c>
      <c r="J703" s="1">
        <v>5</v>
      </c>
      <c r="K703" s="1">
        <f>J703*(IF(I703=ProdFam[[#Headers],[Test]],(VLOOKUP(Data[[#This Row],[Product Family]],ProdFam[],3,FALSE)),(VLOOKUP(Data[[#This Row],[Product Family]],ProdFam[],2,FALSE))))</f>
        <v>235</v>
      </c>
      <c r="L703" s="1">
        <v>150</v>
      </c>
      <c r="M703" s="1">
        <v>0</v>
      </c>
      <c r="N703" s="7" t="str">
        <f>IFERROR(Data[[#This Row],[Actual Time]]/Data[[#This Row],[QTY Complete]],"")</f>
        <v/>
      </c>
      <c r="O703" s="7">
        <f>IF(I703=ProdFam[[#Headers],[Test]],(VLOOKUP(Data[[#This Row],[Product Family]],ProdFam[],3,FALSE)),(VLOOKUP(Data[[#This Row],[Product Family]],ProdFam[],2,FALSE)))</f>
        <v>47</v>
      </c>
    </row>
    <row r="704" spans="2:15" x14ac:dyDescent="0.25">
      <c r="B704" s="1">
        <f>WEEKNUM(Data[[#This Row],[Date]],1)</f>
        <v>47</v>
      </c>
      <c r="C704" s="15">
        <f>YEAR(Data[[#This Row],[Date]])</f>
        <v>2020</v>
      </c>
      <c r="D704" s="5">
        <v>44155</v>
      </c>
      <c r="E704" s="1" t="s">
        <v>118</v>
      </c>
      <c r="F704" s="1">
        <v>29271</v>
      </c>
      <c r="G704" s="1" t="s">
        <v>155</v>
      </c>
      <c r="H704" s="1" t="s">
        <v>132</v>
      </c>
      <c r="I704" s="1" t="s">
        <v>0</v>
      </c>
      <c r="J704" s="1">
        <v>16</v>
      </c>
      <c r="K704" s="1">
        <f>J704*(IF(I704=ProdFam[[#Headers],[Test]],(VLOOKUP(Data[[#This Row],[Product Family]],ProdFam[],3,FALSE)),(VLOOKUP(Data[[#This Row],[Product Family]],ProdFam[],2,FALSE))))</f>
        <v>368</v>
      </c>
      <c r="L704" s="1">
        <v>30</v>
      </c>
      <c r="M704" s="1">
        <v>16</v>
      </c>
      <c r="N704" s="7">
        <f>IFERROR(Data[[#This Row],[Actual Time]]/Data[[#This Row],[QTY Complete]],"")</f>
        <v>1.875</v>
      </c>
      <c r="O704" s="7">
        <f>IF(I704=ProdFam[[#Headers],[Test]],(VLOOKUP(Data[[#This Row],[Product Family]],ProdFam[],3,FALSE)),(VLOOKUP(Data[[#This Row],[Product Family]],ProdFam[],2,FALSE)))</f>
        <v>23</v>
      </c>
    </row>
    <row r="705" spans="2:15" x14ac:dyDescent="0.25">
      <c r="B705" s="1">
        <f>WEEKNUM(Data[[#This Row],[Date]],1)</f>
        <v>47</v>
      </c>
      <c r="C705" s="15">
        <f>YEAR(Data[[#This Row],[Date]])</f>
        <v>2020</v>
      </c>
      <c r="D705" s="5">
        <v>44155</v>
      </c>
      <c r="E705" s="1" t="s">
        <v>118</v>
      </c>
      <c r="F705" s="1">
        <v>29405</v>
      </c>
      <c r="G705" s="1" t="s">
        <v>156</v>
      </c>
      <c r="H705" s="1" t="s">
        <v>112</v>
      </c>
      <c r="I705" s="1" t="s">
        <v>0</v>
      </c>
      <c r="J705" s="1">
        <v>2</v>
      </c>
      <c r="K705" s="1">
        <f>J705*(IF(I705=ProdFam[[#Headers],[Test]],(VLOOKUP(Data[[#This Row],[Product Family]],ProdFam[],3,FALSE)),(VLOOKUP(Data[[#This Row],[Product Family]],ProdFam[],2,FALSE))))</f>
        <v>20</v>
      </c>
      <c r="L705" s="1">
        <v>40</v>
      </c>
      <c r="M705" s="1">
        <v>2</v>
      </c>
      <c r="N705" s="7">
        <f>IFERROR(Data[[#This Row],[Actual Time]]/Data[[#This Row],[QTY Complete]],"")</f>
        <v>20</v>
      </c>
      <c r="O705" s="7">
        <f>IF(I705=ProdFam[[#Headers],[Test]],(VLOOKUP(Data[[#This Row],[Product Family]],ProdFam[],3,FALSE)),(VLOOKUP(Data[[#This Row],[Product Family]],ProdFam[],2,FALSE)))</f>
        <v>10</v>
      </c>
    </row>
    <row r="706" spans="2:15" x14ac:dyDescent="0.25">
      <c r="B706" s="1">
        <f>WEEKNUM(Data[[#This Row],[Date]],1)</f>
        <v>47</v>
      </c>
      <c r="C706" s="15">
        <f>YEAR(Data[[#This Row],[Date]])</f>
        <v>2020</v>
      </c>
      <c r="D706" s="5">
        <v>44155</v>
      </c>
      <c r="E706" s="1" t="s">
        <v>118</v>
      </c>
      <c r="F706" s="1">
        <v>29291</v>
      </c>
      <c r="G706" s="1" t="s">
        <v>157</v>
      </c>
      <c r="H706" s="1" t="s">
        <v>113</v>
      </c>
      <c r="I706" s="1" t="s">
        <v>0</v>
      </c>
      <c r="J706" s="1">
        <v>4</v>
      </c>
      <c r="K706" s="1">
        <f>J706*(IF(I706=ProdFam[[#Headers],[Test]],(VLOOKUP(Data[[#This Row],[Product Family]],ProdFam[],3,FALSE)),(VLOOKUP(Data[[#This Row],[Product Family]],ProdFam[],2,FALSE))))</f>
        <v>188</v>
      </c>
      <c r="L706" s="1">
        <v>220</v>
      </c>
      <c r="M706" s="1">
        <v>4</v>
      </c>
      <c r="N706" s="7">
        <f>IFERROR(Data[[#This Row],[Actual Time]]/Data[[#This Row],[QTY Complete]],"")</f>
        <v>55</v>
      </c>
      <c r="O706" s="7">
        <f>IF(I706=ProdFam[[#Headers],[Test]],(VLOOKUP(Data[[#This Row],[Product Family]],ProdFam[],3,FALSE)),(VLOOKUP(Data[[#This Row],[Product Family]],ProdFam[],2,FALSE)))</f>
        <v>47</v>
      </c>
    </row>
    <row r="707" spans="2:15" x14ac:dyDescent="0.25">
      <c r="B707" s="1">
        <f>WEEKNUM(Data[[#This Row],[Date]],1)</f>
        <v>47</v>
      </c>
      <c r="C707" s="15">
        <f>YEAR(Data[[#This Row],[Date]])</f>
        <v>2020</v>
      </c>
      <c r="D707" s="5">
        <v>44155</v>
      </c>
      <c r="E707" s="1" t="s">
        <v>118</v>
      </c>
      <c r="F707" s="1">
        <v>29378</v>
      </c>
      <c r="G707" s="1" t="s">
        <v>153</v>
      </c>
      <c r="H707" s="1" t="s">
        <v>113</v>
      </c>
      <c r="I707" s="1" t="s">
        <v>0</v>
      </c>
      <c r="J707" s="1">
        <v>1</v>
      </c>
      <c r="K707" s="1">
        <f>J707*(IF(I707=ProdFam[[#Headers],[Test]],(VLOOKUP(Data[[#This Row],[Product Family]],ProdFam[],3,FALSE)),(VLOOKUP(Data[[#This Row],[Product Family]],ProdFam[],2,FALSE))))</f>
        <v>47</v>
      </c>
      <c r="L707" s="1">
        <v>60</v>
      </c>
      <c r="M707" s="1">
        <v>1</v>
      </c>
      <c r="N707" s="7">
        <f>IFERROR(Data[[#This Row],[Actual Time]]/Data[[#This Row],[QTY Complete]],"")</f>
        <v>60</v>
      </c>
      <c r="O707" s="7">
        <f>IF(I707=ProdFam[[#Headers],[Test]],(VLOOKUP(Data[[#This Row],[Product Family]],ProdFam[],3,FALSE)),(VLOOKUP(Data[[#This Row],[Product Family]],ProdFam[],2,FALSE)))</f>
        <v>47</v>
      </c>
    </row>
    <row r="708" spans="2:15" x14ac:dyDescent="0.25">
      <c r="B708" s="1">
        <f>WEEKNUM(Data[[#This Row],[Date]],1)</f>
        <v>47</v>
      </c>
      <c r="C708" s="15">
        <f>YEAR(Data[[#This Row],[Date]])</f>
        <v>2020</v>
      </c>
      <c r="D708" s="5">
        <v>44155</v>
      </c>
      <c r="E708" s="1" t="s">
        <v>131</v>
      </c>
      <c r="F708" s="1">
        <v>29369</v>
      </c>
      <c r="G708" s="1" t="s">
        <v>16</v>
      </c>
      <c r="H708" s="1" t="s">
        <v>113</v>
      </c>
      <c r="I708" s="1" t="s">
        <v>0</v>
      </c>
      <c r="J708" s="1">
        <v>10</v>
      </c>
      <c r="K708" s="1">
        <f>J708*(IF(I708=ProdFam[[#Headers],[Test]],(VLOOKUP(Data[[#This Row],[Product Family]],ProdFam[],3,FALSE)),(VLOOKUP(Data[[#This Row],[Product Family]],ProdFam[],2,FALSE))))</f>
        <v>470</v>
      </c>
      <c r="L708" s="1">
        <v>420</v>
      </c>
      <c r="M708" s="1">
        <v>6</v>
      </c>
      <c r="N708" s="7">
        <f>IFERROR(Data[[#This Row],[Actual Time]]/Data[[#This Row],[QTY Complete]],"")</f>
        <v>70</v>
      </c>
      <c r="O708" s="7">
        <f>IF(I708=ProdFam[[#Headers],[Test]],(VLOOKUP(Data[[#This Row],[Product Family]],ProdFam[],3,FALSE)),(VLOOKUP(Data[[#This Row],[Product Family]],ProdFam[],2,FALSE)))</f>
        <v>47</v>
      </c>
    </row>
    <row r="709" spans="2:15" x14ac:dyDescent="0.25">
      <c r="B709" s="1">
        <f>WEEKNUM(Data[[#This Row],[Date]],1)</f>
        <v>47</v>
      </c>
      <c r="C709" s="15">
        <f>YEAR(Data[[#This Row],[Date]])</f>
        <v>2020</v>
      </c>
      <c r="D709" s="5">
        <v>44155</v>
      </c>
      <c r="E709" s="1" t="s">
        <v>111</v>
      </c>
      <c r="F709" s="1">
        <v>29290</v>
      </c>
      <c r="G709" s="1" t="s">
        <v>5</v>
      </c>
      <c r="H709" s="1" t="s">
        <v>112</v>
      </c>
      <c r="I709" s="1" t="s">
        <v>1</v>
      </c>
      <c r="J709" s="1">
        <v>6</v>
      </c>
      <c r="K709" s="1">
        <f>J709*(IF(I709=ProdFam[[#Headers],[Test]],(VLOOKUP(Data[[#This Row],[Product Family]],ProdFam[],3,FALSE)),(VLOOKUP(Data[[#This Row],[Product Family]],ProdFam[],2,FALSE))))</f>
        <v>60</v>
      </c>
      <c r="L709" s="1">
        <v>60</v>
      </c>
      <c r="M709" s="1">
        <v>6</v>
      </c>
      <c r="N709" s="7">
        <f>IFERROR(Data[[#This Row],[Actual Time]]/Data[[#This Row],[QTY Complete]],"")</f>
        <v>10</v>
      </c>
      <c r="O709" s="7">
        <f>IF(I709=ProdFam[[#Headers],[Test]],(VLOOKUP(Data[[#This Row],[Product Family]],ProdFam[],3,FALSE)),(VLOOKUP(Data[[#This Row],[Product Family]],ProdFam[],2,FALSE)))</f>
        <v>10</v>
      </c>
    </row>
    <row r="710" spans="2:15" x14ac:dyDescent="0.25">
      <c r="B710" s="1">
        <f>WEEKNUM(Data[[#This Row],[Date]],1)</f>
        <v>47</v>
      </c>
      <c r="C710" s="15">
        <f>YEAR(Data[[#This Row],[Date]])</f>
        <v>2020</v>
      </c>
      <c r="D710" s="5">
        <v>44155</v>
      </c>
      <c r="E710" s="1" t="s">
        <v>111</v>
      </c>
      <c r="F710" s="1">
        <v>29293</v>
      </c>
      <c r="G710" s="1" t="s">
        <v>58</v>
      </c>
      <c r="H710" s="1" t="s">
        <v>112</v>
      </c>
      <c r="I710" s="1" t="s">
        <v>1</v>
      </c>
      <c r="J710" s="1">
        <v>21</v>
      </c>
      <c r="K710" s="1">
        <f>J710*(IF(I710=ProdFam[[#Headers],[Test]],(VLOOKUP(Data[[#This Row],[Product Family]],ProdFam[],3,FALSE)),(VLOOKUP(Data[[#This Row],[Product Family]],ProdFam[],2,FALSE))))</f>
        <v>210</v>
      </c>
      <c r="L710" s="1">
        <v>130</v>
      </c>
      <c r="M710" s="1">
        <v>21</v>
      </c>
      <c r="N710" s="7">
        <f>IFERROR(Data[[#This Row],[Actual Time]]/Data[[#This Row],[QTY Complete]],"")</f>
        <v>6.1904761904761907</v>
      </c>
      <c r="O710" s="7">
        <f>IF(I710=ProdFam[[#Headers],[Test]],(VLOOKUP(Data[[#This Row],[Product Family]],ProdFam[],3,FALSE)),(VLOOKUP(Data[[#This Row],[Product Family]],ProdFam[],2,FALSE)))</f>
        <v>10</v>
      </c>
    </row>
    <row r="711" spans="2:15" x14ac:dyDescent="0.25">
      <c r="B711" s="1">
        <f>WEEKNUM(Data[[#This Row],[Date]],1)</f>
        <v>47</v>
      </c>
      <c r="C711" s="15">
        <f>YEAR(Data[[#This Row],[Date]])</f>
        <v>2020</v>
      </c>
      <c r="D711" s="5">
        <v>44155</v>
      </c>
      <c r="E711" s="1" t="s">
        <v>111</v>
      </c>
      <c r="F711" s="1">
        <v>29289</v>
      </c>
      <c r="G711" s="1" t="s">
        <v>9</v>
      </c>
      <c r="H711" s="1" t="s">
        <v>112</v>
      </c>
      <c r="I711" s="1" t="s">
        <v>1</v>
      </c>
      <c r="J711" s="1">
        <v>18</v>
      </c>
      <c r="K711" s="1">
        <f>J711*(IF(I711=ProdFam[[#Headers],[Test]],(VLOOKUP(Data[[#This Row],[Product Family]],ProdFam[],3,FALSE)),(VLOOKUP(Data[[#This Row],[Product Family]],ProdFam[],2,FALSE))))</f>
        <v>180</v>
      </c>
      <c r="L711" s="1">
        <v>150</v>
      </c>
      <c r="M711" s="1">
        <v>18</v>
      </c>
      <c r="N711" s="7">
        <f>IFERROR(Data[[#This Row],[Actual Time]]/Data[[#This Row],[QTY Complete]],"")</f>
        <v>8.3333333333333339</v>
      </c>
      <c r="O711" s="7">
        <f>IF(I711=ProdFam[[#Headers],[Test]],(VLOOKUP(Data[[#This Row],[Product Family]],ProdFam[],3,FALSE)),(VLOOKUP(Data[[#This Row],[Product Family]],ProdFam[],2,FALSE)))</f>
        <v>10</v>
      </c>
    </row>
    <row r="712" spans="2:15" x14ac:dyDescent="0.25">
      <c r="B712" s="1">
        <f>WEEKNUM(Data[[#This Row],[Date]],1)</f>
        <v>47</v>
      </c>
      <c r="C712" s="15">
        <f>YEAR(Data[[#This Row],[Date]])</f>
        <v>2020</v>
      </c>
      <c r="D712" s="5">
        <v>44155</v>
      </c>
      <c r="E712" s="1" t="s">
        <v>111</v>
      </c>
      <c r="F712" s="1">
        <v>29405</v>
      </c>
      <c r="G712" s="1" t="s">
        <v>156</v>
      </c>
      <c r="H712" s="1" t="s">
        <v>112</v>
      </c>
      <c r="I712" s="1" t="s">
        <v>1</v>
      </c>
      <c r="J712" s="1">
        <v>2</v>
      </c>
      <c r="K712" s="1">
        <f>J712*(IF(I712=ProdFam[[#Headers],[Test]],(VLOOKUP(Data[[#This Row],[Product Family]],ProdFam[],3,FALSE)),(VLOOKUP(Data[[#This Row],[Product Family]],ProdFam[],2,FALSE))))</f>
        <v>20</v>
      </c>
      <c r="L712" s="1">
        <v>15</v>
      </c>
      <c r="M712" s="1">
        <v>2</v>
      </c>
      <c r="N712" s="7">
        <f>IFERROR(Data[[#This Row],[Actual Time]]/Data[[#This Row],[QTY Complete]],"")</f>
        <v>7.5</v>
      </c>
      <c r="O712" s="7">
        <f>IF(I712=ProdFam[[#Headers],[Test]],(VLOOKUP(Data[[#This Row],[Product Family]],ProdFam[],3,FALSE)),(VLOOKUP(Data[[#This Row],[Product Family]],ProdFam[],2,FALSE)))</f>
        <v>10</v>
      </c>
    </row>
    <row r="713" spans="2:15" x14ac:dyDescent="0.25">
      <c r="B713" s="1">
        <f>WEEKNUM(Data[[#This Row],[Date]],1)</f>
        <v>47</v>
      </c>
      <c r="C713" s="15">
        <f>YEAR(Data[[#This Row],[Date]])</f>
        <v>2020</v>
      </c>
      <c r="D713" s="5">
        <v>44155</v>
      </c>
      <c r="E713" s="1" t="s">
        <v>111</v>
      </c>
      <c r="F713" s="1">
        <v>28399</v>
      </c>
      <c r="G713" s="1" t="s">
        <v>93</v>
      </c>
      <c r="H713" s="1" t="s">
        <v>112</v>
      </c>
      <c r="I713" s="1" t="s">
        <v>1</v>
      </c>
      <c r="J713" s="1">
        <v>3</v>
      </c>
      <c r="K713" s="1">
        <f>J713*(IF(I713=ProdFam[[#Headers],[Test]],(VLOOKUP(Data[[#This Row],[Product Family]],ProdFam[],3,FALSE)),(VLOOKUP(Data[[#This Row],[Product Family]],ProdFam[],2,FALSE))))</f>
        <v>30</v>
      </c>
      <c r="L713" s="1">
        <v>60</v>
      </c>
      <c r="M713" s="1">
        <v>3</v>
      </c>
      <c r="N713" s="7">
        <f>IFERROR(Data[[#This Row],[Actual Time]]/Data[[#This Row],[QTY Complete]],"")</f>
        <v>20</v>
      </c>
      <c r="O713" s="7">
        <f>IF(I713=ProdFam[[#Headers],[Test]],(VLOOKUP(Data[[#This Row],[Product Family]],ProdFam[],3,FALSE)),(VLOOKUP(Data[[#This Row],[Product Family]],ProdFam[],2,FALSE)))</f>
        <v>10</v>
      </c>
    </row>
    <row r="714" spans="2:15" x14ac:dyDescent="0.25">
      <c r="B714" s="1">
        <f>WEEKNUM(Data[[#This Row],[Date]],1)</f>
        <v>47</v>
      </c>
      <c r="C714" s="15">
        <f>YEAR(Data[[#This Row],[Date]])</f>
        <v>2020</v>
      </c>
      <c r="D714" s="5">
        <v>44155</v>
      </c>
      <c r="E714" s="1" t="s">
        <v>119</v>
      </c>
      <c r="F714" s="1">
        <v>29329</v>
      </c>
      <c r="G714" s="1" t="s">
        <v>16</v>
      </c>
      <c r="H714" s="1" t="s">
        <v>113</v>
      </c>
      <c r="I714" s="1" t="s">
        <v>1</v>
      </c>
      <c r="J714" s="1">
        <v>5</v>
      </c>
      <c r="K714" s="1">
        <f>J714*(IF(I714=ProdFam[[#Headers],[Test]],(VLOOKUP(Data[[#This Row],[Product Family]],ProdFam[],3,FALSE)),(VLOOKUP(Data[[#This Row],[Product Family]],ProdFam[],2,FALSE))))</f>
        <v>160</v>
      </c>
      <c r="L714" s="1">
        <v>100</v>
      </c>
      <c r="M714" s="1">
        <v>4</v>
      </c>
      <c r="N714" s="7">
        <f>IFERROR(Data[[#This Row],[Actual Time]]/Data[[#This Row],[QTY Complete]],"")</f>
        <v>25</v>
      </c>
      <c r="O714" s="7">
        <f>IF(I714=ProdFam[[#Headers],[Test]],(VLOOKUP(Data[[#This Row],[Product Family]],ProdFam[],3,FALSE)),(VLOOKUP(Data[[#This Row],[Product Family]],ProdFam[],2,FALSE)))</f>
        <v>32</v>
      </c>
    </row>
    <row r="715" spans="2:15" x14ac:dyDescent="0.25">
      <c r="B715" s="1">
        <f>WEEKNUM(Data[[#This Row],[Date]],1)</f>
        <v>47</v>
      </c>
      <c r="C715" s="15">
        <f>YEAR(Data[[#This Row],[Date]])</f>
        <v>2020</v>
      </c>
      <c r="D715" s="5">
        <v>44155</v>
      </c>
      <c r="E715" s="1" t="s">
        <v>119</v>
      </c>
      <c r="F715" s="1">
        <v>29275</v>
      </c>
      <c r="G715" s="1" t="s">
        <v>40</v>
      </c>
      <c r="H715" s="1" t="s">
        <v>113</v>
      </c>
      <c r="I715" s="1" t="s">
        <v>1</v>
      </c>
      <c r="J715" s="1">
        <v>3</v>
      </c>
      <c r="K715" s="1">
        <f>J715*(IF(I715=ProdFam[[#Headers],[Test]],(VLOOKUP(Data[[#This Row],[Product Family]],ProdFam[],3,FALSE)),(VLOOKUP(Data[[#This Row],[Product Family]],ProdFam[],2,FALSE))))</f>
        <v>96</v>
      </c>
      <c r="L715" s="1">
        <v>40</v>
      </c>
      <c r="M715" s="1">
        <v>3</v>
      </c>
      <c r="N715" s="7">
        <f>IFERROR(Data[[#This Row],[Actual Time]]/Data[[#This Row],[QTY Complete]],"")</f>
        <v>13.333333333333334</v>
      </c>
      <c r="O715" s="7">
        <f>IF(I715=ProdFam[[#Headers],[Test]],(VLOOKUP(Data[[#This Row],[Product Family]],ProdFam[],3,FALSE)),(VLOOKUP(Data[[#This Row],[Product Family]],ProdFam[],2,FALSE)))</f>
        <v>32</v>
      </c>
    </row>
    <row r="716" spans="2:15" x14ac:dyDescent="0.25">
      <c r="B716" s="1">
        <f>WEEKNUM(Data[[#This Row],[Date]],1)</f>
        <v>47</v>
      </c>
      <c r="C716" s="15">
        <f>YEAR(Data[[#This Row],[Date]])</f>
        <v>2020</v>
      </c>
      <c r="D716" s="5">
        <v>44155</v>
      </c>
      <c r="E716" s="1" t="s">
        <v>119</v>
      </c>
      <c r="F716" s="1">
        <v>29292</v>
      </c>
      <c r="G716" s="1" t="s">
        <v>79</v>
      </c>
      <c r="H716" s="1" t="s">
        <v>112</v>
      </c>
      <c r="I716" s="1" t="s">
        <v>1</v>
      </c>
      <c r="J716" s="1">
        <v>6</v>
      </c>
      <c r="K716" s="1">
        <f>J716*(IF(I716=ProdFam[[#Headers],[Test]],(VLOOKUP(Data[[#This Row],[Product Family]],ProdFam[],3,FALSE)),(VLOOKUP(Data[[#This Row],[Product Family]],ProdFam[],2,FALSE))))</f>
        <v>60</v>
      </c>
      <c r="L716" s="1">
        <v>30</v>
      </c>
      <c r="M716" s="1">
        <v>6</v>
      </c>
      <c r="N716" s="7">
        <f>IFERROR(Data[[#This Row],[Actual Time]]/Data[[#This Row],[QTY Complete]],"")</f>
        <v>5</v>
      </c>
      <c r="O716" s="7">
        <f>IF(I716=ProdFam[[#Headers],[Test]],(VLOOKUP(Data[[#This Row],[Product Family]],ProdFam[],3,FALSE)),(VLOOKUP(Data[[#This Row],[Product Family]],ProdFam[],2,FALSE)))</f>
        <v>10</v>
      </c>
    </row>
    <row r="717" spans="2:15" x14ac:dyDescent="0.25">
      <c r="B717" s="1">
        <f>WEEKNUM(Data[[#This Row],[Date]],1)</f>
        <v>47</v>
      </c>
      <c r="C717" s="15">
        <f>YEAR(Data[[#This Row],[Date]])</f>
        <v>2019</v>
      </c>
      <c r="D717" s="5">
        <v>43787</v>
      </c>
      <c r="E717" s="1" t="s">
        <v>131</v>
      </c>
      <c r="F717" s="1">
        <v>29329</v>
      </c>
      <c r="G717" s="1" t="s">
        <v>16</v>
      </c>
      <c r="H717" s="1" t="s">
        <v>113</v>
      </c>
      <c r="I717" s="1" t="s">
        <v>0</v>
      </c>
      <c r="J717" s="1">
        <v>10</v>
      </c>
      <c r="K717" s="1">
        <f>J717*(IF(I717=ProdFam[[#Headers],[Test]],(VLOOKUP(Data[[#This Row],[Product Family]],ProdFam[],3,FALSE)),(VLOOKUP(Data[[#This Row],[Product Family]],ProdFam[],2,FALSE))))</f>
        <v>470</v>
      </c>
      <c r="L717" s="1">
        <v>300</v>
      </c>
      <c r="M717" s="1">
        <v>7</v>
      </c>
      <c r="N717" s="7">
        <f>IFERROR(Data[[#This Row],[Actual Time]]/Data[[#This Row],[QTY Complete]],"")</f>
        <v>42.857142857142854</v>
      </c>
      <c r="O717" s="7">
        <f>IF(I717=ProdFam[[#Headers],[Test]],(VLOOKUP(Data[[#This Row],[Product Family]],ProdFam[],3,FALSE)),(VLOOKUP(Data[[#This Row],[Product Family]],ProdFam[],2,FALSE)))</f>
        <v>47</v>
      </c>
    </row>
    <row r="718" spans="2:15" x14ac:dyDescent="0.25">
      <c r="B718" s="1">
        <f>WEEKNUM(Data[[#This Row],[Date]],1)</f>
        <v>47</v>
      </c>
      <c r="C718" s="15">
        <f>YEAR(Data[[#This Row],[Date]])</f>
        <v>2019</v>
      </c>
      <c r="D718" s="5">
        <v>43788</v>
      </c>
      <c r="E718" s="1" t="s">
        <v>122</v>
      </c>
      <c r="F718" s="1">
        <v>29276</v>
      </c>
      <c r="G718" s="1" t="s">
        <v>133</v>
      </c>
      <c r="H718" s="1" t="s">
        <v>112</v>
      </c>
      <c r="I718" s="1" t="s">
        <v>0</v>
      </c>
      <c r="J718" s="1">
        <v>15</v>
      </c>
      <c r="K718" s="1">
        <f>J718*(IF(I718=ProdFam[[#Headers],[Test]],(VLOOKUP(Data[[#This Row],[Product Family]],ProdFam[],3,FALSE)),(VLOOKUP(Data[[#This Row],[Product Family]],ProdFam[],2,FALSE))))</f>
        <v>150</v>
      </c>
      <c r="L718" s="1">
        <v>240</v>
      </c>
      <c r="M718" s="1">
        <v>15</v>
      </c>
      <c r="N718" s="7">
        <f>IFERROR(Data[[#This Row],[Actual Time]]/Data[[#This Row],[QTY Complete]],"")</f>
        <v>16</v>
      </c>
      <c r="O718" s="7">
        <f>IF(I718=ProdFam[[#Headers],[Test]],(VLOOKUP(Data[[#This Row],[Product Family]],ProdFam[],3,FALSE)),(VLOOKUP(Data[[#This Row],[Product Family]],ProdFam[],2,FALSE)))</f>
        <v>10</v>
      </c>
    </row>
    <row r="719" spans="2:15" x14ac:dyDescent="0.25">
      <c r="B719" s="1">
        <f>WEEKNUM(Data[[#This Row],[Date]],1)</f>
        <v>47</v>
      </c>
      <c r="C719" s="15">
        <f>YEAR(Data[[#This Row],[Date]])</f>
        <v>2019</v>
      </c>
      <c r="D719" s="5">
        <v>43788</v>
      </c>
      <c r="E719" s="1" t="s">
        <v>122</v>
      </c>
      <c r="F719" s="1">
        <v>29325</v>
      </c>
      <c r="G719" s="1" t="s">
        <v>9</v>
      </c>
      <c r="H719" s="1" t="s">
        <v>112</v>
      </c>
      <c r="I719" s="1" t="s">
        <v>0</v>
      </c>
      <c r="J719" s="1">
        <v>18</v>
      </c>
      <c r="K719" s="1">
        <f>J719*(IF(I719=ProdFam[[#Headers],[Test]],(VLOOKUP(Data[[#This Row],[Product Family]],ProdFam[],3,FALSE)),(VLOOKUP(Data[[#This Row],[Product Family]],ProdFam[],2,FALSE))))</f>
        <v>180</v>
      </c>
      <c r="L719" s="1">
        <v>180</v>
      </c>
      <c r="M719" s="1">
        <v>18</v>
      </c>
      <c r="N719" s="7">
        <f>IFERROR(Data[[#This Row],[Actual Time]]/Data[[#This Row],[QTY Complete]],"")</f>
        <v>10</v>
      </c>
      <c r="O719" s="7">
        <f>IF(I719=ProdFam[[#Headers],[Test]],(VLOOKUP(Data[[#This Row],[Product Family]],ProdFam[],3,FALSE)),(VLOOKUP(Data[[#This Row],[Product Family]],ProdFam[],2,FALSE)))</f>
        <v>10</v>
      </c>
    </row>
    <row r="720" spans="2:15" x14ac:dyDescent="0.25">
      <c r="B720" s="1">
        <f>WEEKNUM(Data[[#This Row],[Date]],1)</f>
        <v>47</v>
      </c>
      <c r="C720" s="15">
        <f>YEAR(Data[[#This Row],[Date]])</f>
        <v>2019</v>
      </c>
      <c r="D720" s="5">
        <v>43788</v>
      </c>
      <c r="E720" s="1" t="s">
        <v>122</v>
      </c>
      <c r="F720" s="1">
        <v>29290</v>
      </c>
      <c r="G720" s="1" t="s">
        <v>5</v>
      </c>
      <c r="H720" s="1" t="s">
        <v>112</v>
      </c>
      <c r="I720" s="1" t="s">
        <v>0</v>
      </c>
      <c r="J720" s="1">
        <v>6</v>
      </c>
      <c r="K720" s="1">
        <f>J720*(IF(I720=ProdFam[[#Headers],[Test]],(VLOOKUP(Data[[#This Row],[Product Family]],ProdFam[],3,FALSE)),(VLOOKUP(Data[[#This Row],[Product Family]],ProdFam[],2,FALSE))))</f>
        <v>60</v>
      </c>
      <c r="L720" s="1">
        <v>90</v>
      </c>
      <c r="M720" s="1">
        <v>6</v>
      </c>
      <c r="N720" s="7">
        <f>IFERROR(Data[[#This Row],[Actual Time]]/Data[[#This Row],[QTY Complete]],"")</f>
        <v>15</v>
      </c>
      <c r="O720" s="7">
        <f>IF(I720=ProdFam[[#Headers],[Test]],(VLOOKUP(Data[[#This Row],[Product Family]],ProdFam[],3,FALSE)),(VLOOKUP(Data[[#This Row],[Product Family]],ProdFam[],2,FALSE)))</f>
        <v>10</v>
      </c>
    </row>
    <row r="721" spans="2:15" x14ac:dyDescent="0.25">
      <c r="B721" s="1">
        <f>WEEKNUM(Data[[#This Row],[Date]],1)</f>
        <v>47</v>
      </c>
      <c r="C721" s="15">
        <f>YEAR(Data[[#This Row],[Date]])</f>
        <v>2019</v>
      </c>
      <c r="D721" s="5">
        <v>43788</v>
      </c>
      <c r="E721" s="1" t="s">
        <v>122</v>
      </c>
      <c r="F721" s="1">
        <v>29292</v>
      </c>
      <c r="G721" s="1" t="s">
        <v>79</v>
      </c>
      <c r="H721" s="1" t="s">
        <v>112</v>
      </c>
      <c r="I721" s="1" t="s">
        <v>0</v>
      </c>
      <c r="J721" s="1">
        <v>6</v>
      </c>
      <c r="K721" s="1">
        <f>J721*(IF(I721=ProdFam[[#Headers],[Test]],(VLOOKUP(Data[[#This Row],[Product Family]],ProdFam[],3,FALSE)),(VLOOKUP(Data[[#This Row],[Product Family]],ProdFam[],2,FALSE))))</f>
        <v>60</v>
      </c>
      <c r="L721" s="1">
        <v>30</v>
      </c>
      <c r="M721" s="1">
        <v>0</v>
      </c>
      <c r="N721" s="7" t="str">
        <f>IFERROR(Data[[#This Row],[Actual Time]]/Data[[#This Row],[QTY Complete]],"")</f>
        <v/>
      </c>
      <c r="O721" s="7">
        <f>IF(I721=ProdFam[[#Headers],[Test]],(VLOOKUP(Data[[#This Row],[Product Family]],ProdFam[],3,FALSE)),(VLOOKUP(Data[[#This Row],[Product Family]],ProdFam[],2,FALSE)))</f>
        <v>10</v>
      </c>
    </row>
    <row r="722" spans="2:15" x14ac:dyDescent="0.25">
      <c r="B722" s="1">
        <f>WEEKNUM(Data[[#This Row],[Date]],1)</f>
        <v>47</v>
      </c>
      <c r="C722" s="15">
        <f>YEAR(Data[[#This Row],[Date]])</f>
        <v>2019</v>
      </c>
      <c r="D722" s="5">
        <v>43788</v>
      </c>
      <c r="E722" s="1" t="s">
        <v>111</v>
      </c>
      <c r="F722" s="1">
        <v>29196</v>
      </c>
      <c r="G722" s="1" t="s">
        <v>9</v>
      </c>
      <c r="H722" s="1" t="s">
        <v>112</v>
      </c>
      <c r="I722" s="1" t="s">
        <v>1</v>
      </c>
      <c r="J722" s="1">
        <v>18</v>
      </c>
      <c r="K722" s="1">
        <f>J722*(IF(I722=ProdFam[[#Headers],[Test]],(VLOOKUP(Data[[#This Row],[Product Family]],ProdFam[],3,FALSE)),(VLOOKUP(Data[[#This Row],[Product Family]],ProdFam[],2,FALSE))))</f>
        <v>180</v>
      </c>
      <c r="L722" s="1">
        <v>150</v>
      </c>
      <c r="M722" s="1">
        <v>18</v>
      </c>
      <c r="N722" s="7">
        <f>IFERROR(Data[[#This Row],[Actual Time]]/Data[[#This Row],[QTY Complete]],"")</f>
        <v>8.3333333333333339</v>
      </c>
      <c r="O722" s="7">
        <f>IF(I722=ProdFam[[#Headers],[Test]],(VLOOKUP(Data[[#This Row],[Product Family]],ProdFam[],3,FALSE)),(VLOOKUP(Data[[#This Row],[Product Family]],ProdFam[],2,FALSE)))</f>
        <v>10</v>
      </c>
    </row>
    <row r="723" spans="2:15" x14ac:dyDescent="0.25">
      <c r="B723" s="1">
        <f>WEEKNUM(Data[[#This Row],[Date]],1)</f>
        <v>47</v>
      </c>
      <c r="C723" s="15">
        <f>YEAR(Data[[#This Row],[Date]])</f>
        <v>2019</v>
      </c>
      <c r="D723" s="5">
        <v>43788</v>
      </c>
      <c r="E723" s="1" t="s">
        <v>111</v>
      </c>
      <c r="F723" s="1">
        <v>29121</v>
      </c>
      <c r="G723" s="1" t="s">
        <v>133</v>
      </c>
      <c r="H723" s="1" t="s">
        <v>112</v>
      </c>
      <c r="I723" s="1" t="s">
        <v>1</v>
      </c>
      <c r="J723" s="1">
        <v>15</v>
      </c>
      <c r="K723" s="1">
        <f>J723*(IF(I723=ProdFam[[#Headers],[Test]],(VLOOKUP(Data[[#This Row],[Product Family]],ProdFam[],3,FALSE)),(VLOOKUP(Data[[#This Row],[Product Family]],ProdFam[],2,FALSE))))</f>
        <v>150</v>
      </c>
      <c r="L723" s="1">
        <v>150</v>
      </c>
      <c r="M723" s="1">
        <v>15</v>
      </c>
      <c r="N723" s="7">
        <f>IFERROR(Data[[#This Row],[Actual Time]]/Data[[#This Row],[QTY Complete]],"")</f>
        <v>10</v>
      </c>
      <c r="O723" s="7">
        <f>IF(I723=ProdFam[[#Headers],[Test]],(VLOOKUP(Data[[#This Row],[Product Family]],ProdFam[],3,FALSE)),(VLOOKUP(Data[[#This Row],[Product Family]],ProdFam[],2,FALSE)))</f>
        <v>10</v>
      </c>
    </row>
    <row r="724" spans="2:15" x14ac:dyDescent="0.25">
      <c r="B724" s="1">
        <f>WEEKNUM(Data[[#This Row],[Date]],1)</f>
        <v>47</v>
      </c>
      <c r="C724" s="15">
        <f>YEAR(Data[[#This Row],[Date]])</f>
        <v>2019</v>
      </c>
      <c r="D724" s="5">
        <v>43788</v>
      </c>
      <c r="E724" s="1" t="s">
        <v>111</v>
      </c>
      <c r="F724" s="1">
        <v>29278</v>
      </c>
      <c r="G724" s="1" t="s">
        <v>84</v>
      </c>
      <c r="H724" s="1" t="s">
        <v>112</v>
      </c>
      <c r="I724" s="1" t="s">
        <v>1</v>
      </c>
      <c r="J724" s="1">
        <v>3</v>
      </c>
      <c r="K724" s="1">
        <f>J724*(IF(I724=ProdFam[[#Headers],[Test]],(VLOOKUP(Data[[#This Row],[Product Family]],ProdFam[],3,FALSE)),(VLOOKUP(Data[[#This Row],[Product Family]],ProdFam[],2,FALSE))))</f>
        <v>30</v>
      </c>
      <c r="L724" s="1">
        <v>30</v>
      </c>
      <c r="M724" s="1">
        <v>3</v>
      </c>
      <c r="N724" s="7">
        <f>IFERROR(Data[[#This Row],[Actual Time]]/Data[[#This Row],[QTY Complete]],"")</f>
        <v>10</v>
      </c>
      <c r="O724" s="7">
        <f>IF(I724=ProdFam[[#Headers],[Test]],(VLOOKUP(Data[[#This Row],[Product Family]],ProdFam[],3,FALSE)),(VLOOKUP(Data[[#This Row],[Product Family]],ProdFam[],2,FALSE)))</f>
        <v>10</v>
      </c>
    </row>
    <row r="725" spans="2:15" x14ac:dyDescent="0.25">
      <c r="B725" s="1">
        <f>WEEKNUM(Data[[#This Row],[Date]],1)</f>
        <v>47</v>
      </c>
      <c r="C725" s="15">
        <f>YEAR(Data[[#This Row],[Date]])</f>
        <v>2019</v>
      </c>
      <c r="D725" s="5">
        <v>43788</v>
      </c>
      <c r="E725" s="1" t="s">
        <v>111</v>
      </c>
      <c r="F725" s="1">
        <v>29281</v>
      </c>
      <c r="G725" s="1" t="s">
        <v>2</v>
      </c>
      <c r="H725" s="1" t="s">
        <v>112</v>
      </c>
      <c r="I725" s="1" t="s">
        <v>1</v>
      </c>
      <c r="J725" s="1">
        <v>9</v>
      </c>
      <c r="K725" s="1">
        <f>J725*(IF(I725=ProdFam[[#Headers],[Test]],(VLOOKUP(Data[[#This Row],[Product Family]],ProdFam[],3,FALSE)),(VLOOKUP(Data[[#This Row],[Product Family]],ProdFam[],2,FALSE))))</f>
        <v>90</v>
      </c>
      <c r="L725" s="1">
        <v>90</v>
      </c>
      <c r="M725" s="1">
        <v>9</v>
      </c>
      <c r="N725" s="7">
        <f>IFERROR(Data[[#This Row],[Actual Time]]/Data[[#This Row],[QTY Complete]],"")</f>
        <v>10</v>
      </c>
      <c r="O725" s="7">
        <f>IF(I725=ProdFam[[#Headers],[Test]],(VLOOKUP(Data[[#This Row],[Product Family]],ProdFam[],3,FALSE)),(VLOOKUP(Data[[#This Row],[Product Family]],ProdFam[],2,FALSE)))</f>
        <v>10</v>
      </c>
    </row>
    <row r="726" spans="2:15" x14ac:dyDescent="0.25">
      <c r="B726" s="1">
        <f>WEEKNUM(Data[[#This Row],[Date]],1)</f>
        <v>47</v>
      </c>
      <c r="C726" s="15">
        <f>YEAR(Data[[#This Row],[Date]])</f>
        <v>2019</v>
      </c>
      <c r="D726" s="5">
        <v>43788</v>
      </c>
      <c r="E726" s="1" t="s">
        <v>119</v>
      </c>
      <c r="F726" s="1">
        <v>29323</v>
      </c>
      <c r="G726" s="1" t="s">
        <v>25</v>
      </c>
      <c r="H726" s="1" t="s">
        <v>113</v>
      </c>
      <c r="I726" s="1" t="s">
        <v>1</v>
      </c>
      <c r="J726" s="1">
        <v>10</v>
      </c>
      <c r="K726" s="1">
        <f>J726*(IF(I726=ProdFam[[#Headers],[Test]],(VLOOKUP(Data[[#This Row],[Product Family]],ProdFam[],3,FALSE)),(VLOOKUP(Data[[#This Row],[Product Family]],ProdFam[],2,FALSE))))</f>
        <v>320</v>
      </c>
      <c r="L726" s="1">
        <v>170</v>
      </c>
      <c r="M726" s="1">
        <v>10</v>
      </c>
      <c r="N726" s="7">
        <f>IFERROR(Data[[#This Row],[Actual Time]]/Data[[#This Row],[QTY Complete]],"")</f>
        <v>17</v>
      </c>
      <c r="O726" s="7">
        <f>IF(I726=ProdFam[[#Headers],[Test]],(VLOOKUP(Data[[#This Row],[Product Family]],ProdFam[],3,FALSE)),(VLOOKUP(Data[[#This Row],[Product Family]],ProdFam[],2,FALSE)))</f>
        <v>32</v>
      </c>
    </row>
    <row r="727" spans="2:15" x14ac:dyDescent="0.25">
      <c r="B727" s="1">
        <f>WEEKNUM(Data[[#This Row],[Date]],1)</f>
        <v>47</v>
      </c>
      <c r="C727" s="15">
        <f>YEAR(Data[[#This Row],[Date]])</f>
        <v>2019</v>
      </c>
      <c r="D727" s="5">
        <v>43788</v>
      </c>
      <c r="E727" s="1" t="s">
        <v>119</v>
      </c>
      <c r="F727" s="1">
        <v>29324</v>
      </c>
      <c r="G727" s="1" t="s">
        <v>66</v>
      </c>
      <c r="H727" s="1" t="s">
        <v>113</v>
      </c>
      <c r="I727" s="1" t="s">
        <v>1</v>
      </c>
      <c r="J727" s="1">
        <v>1</v>
      </c>
      <c r="K727" s="1">
        <f>J727*(IF(I727=ProdFam[[#Headers],[Test]],(VLOOKUP(Data[[#This Row],[Product Family]],ProdFam[],3,FALSE)),(VLOOKUP(Data[[#This Row],[Product Family]],ProdFam[],2,FALSE))))</f>
        <v>32</v>
      </c>
      <c r="L727" s="1">
        <v>15</v>
      </c>
      <c r="M727" s="1">
        <v>1</v>
      </c>
      <c r="N727" s="7">
        <f>IFERROR(Data[[#This Row],[Actual Time]]/Data[[#This Row],[QTY Complete]],"")</f>
        <v>15</v>
      </c>
      <c r="O727" s="7">
        <f>IF(I727=ProdFam[[#Headers],[Test]],(VLOOKUP(Data[[#This Row],[Product Family]],ProdFam[],3,FALSE)),(VLOOKUP(Data[[#This Row],[Product Family]],ProdFam[],2,FALSE)))</f>
        <v>32</v>
      </c>
    </row>
    <row r="728" spans="2:15" x14ac:dyDescent="0.25">
      <c r="B728" s="1">
        <f>WEEKNUM(Data[[#This Row],[Date]],1)</f>
        <v>47</v>
      </c>
      <c r="C728" s="15">
        <f>YEAR(Data[[#This Row],[Date]])</f>
        <v>2019</v>
      </c>
      <c r="D728" s="5">
        <v>43788</v>
      </c>
      <c r="E728" s="1" t="s">
        <v>119</v>
      </c>
      <c r="F728" s="1">
        <v>29327</v>
      </c>
      <c r="G728" s="1" t="s">
        <v>27</v>
      </c>
      <c r="H728" s="1" t="s">
        <v>113</v>
      </c>
      <c r="I728" s="1" t="s">
        <v>1</v>
      </c>
      <c r="J728" s="1">
        <v>4</v>
      </c>
      <c r="K728" s="1">
        <f>J728*(IF(I728=ProdFam[[#Headers],[Test]],(VLOOKUP(Data[[#This Row],[Product Family]],ProdFam[],3,FALSE)),(VLOOKUP(Data[[#This Row],[Product Family]],ProdFam[],2,FALSE))))</f>
        <v>128</v>
      </c>
      <c r="L728" s="1">
        <v>60</v>
      </c>
      <c r="M728" s="1">
        <v>4</v>
      </c>
      <c r="N728" s="7">
        <f>IFERROR(Data[[#This Row],[Actual Time]]/Data[[#This Row],[QTY Complete]],"")</f>
        <v>15</v>
      </c>
      <c r="O728" s="7">
        <f>IF(I728=ProdFam[[#Headers],[Test]],(VLOOKUP(Data[[#This Row],[Product Family]],ProdFam[],3,FALSE)),(VLOOKUP(Data[[#This Row],[Product Family]],ProdFam[],2,FALSE)))</f>
        <v>32</v>
      </c>
    </row>
    <row r="729" spans="2:15" x14ac:dyDescent="0.25">
      <c r="B729" s="1">
        <f>WEEKNUM(Data[[#This Row],[Date]],1)</f>
        <v>47</v>
      </c>
      <c r="C729" s="15">
        <f>YEAR(Data[[#This Row],[Date]])</f>
        <v>2019</v>
      </c>
      <c r="D729" s="5">
        <v>43788</v>
      </c>
      <c r="E729" s="1" t="s">
        <v>119</v>
      </c>
      <c r="F729" s="1">
        <v>29329</v>
      </c>
      <c r="G729" s="1" t="s">
        <v>16</v>
      </c>
      <c r="H729" s="1" t="s">
        <v>113</v>
      </c>
      <c r="I729" s="1" t="s">
        <v>1</v>
      </c>
      <c r="J729" s="1">
        <v>10</v>
      </c>
      <c r="K729" s="1">
        <f>J729*(IF(I729=ProdFam[[#Headers],[Test]],(VLOOKUP(Data[[#This Row],[Product Family]],ProdFam[],3,FALSE)),(VLOOKUP(Data[[#This Row],[Product Family]],ProdFam[],2,FALSE))))</f>
        <v>320</v>
      </c>
      <c r="L729" s="1">
        <v>135</v>
      </c>
      <c r="M729" s="1">
        <v>5</v>
      </c>
      <c r="N729" s="7">
        <f>IFERROR(Data[[#This Row],[Actual Time]]/Data[[#This Row],[QTY Complete]],"")</f>
        <v>27</v>
      </c>
      <c r="O729" s="7">
        <f>IF(I729=ProdFam[[#Headers],[Test]],(VLOOKUP(Data[[#This Row],[Product Family]],ProdFam[],3,FALSE)),(VLOOKUP(Data[[#This Row],[Product Family]],ProdFam[],2,FALSE)))</f>
        <v>32</v>
      </c>
    </row>
    <row r="730" spans="2:15" x14ac:dyDescent="0.25">
      <c r="B730" s="1">
        <f>WEEKNUM(Data[[#This Row],[Date]],1)</f>
        <v>47</v>
      </c>
      <c r="C730" s="15">
        <f>YEAR(Data[[#This Row],[Date]])</f>
        <v>2019</v>
      </c>
      <c r="D730" s="5">
        <v>43788</v>
      </c>
      <c r="E730" s="1" t="s">
        <v>118</v>
      </c>
      <c r="F730" s="1">
        <v>29327</v>
      </c>
      <c r="G730" s="1" t="s">
        <v>27</v>
      </c>
      <c r="H730" s="1" t="s">
        <v>113</v>
      </c>
      <c r="I730" s="1" t="s">
        <v>0</v>
      </c>
      <c r="J730" s="1">
        <v>4</v>
      </c>
      <c r="K730" s="1">
        <f>J730*(IF(I730=ProdFam[[#Headers],[Test]],(VLOOKUP(Data[[#This Row],[Product Family]],ProdFam[],3,FALSE)),(VLOOKUP(Data[[#This Row],[Product Family]],ProdFam[],2,FALSE))))</f>
        <v>188</v>
      </c>
      <c r="L730" s="1">
        <v>125</v>
      </c>
      <c r="M730" s="1">
        <v>4</v>
      </c>
      <c r="N730" s="7">
        <f>IFERROR(Data[[#This Row],[Actual Time]]/Data[[#This Row],[QTY Complete]],"")</f>
        <v>31.25</v>
      </c>
      <c r="O730" s="7">
        <f>IF(I730=ProdFam[[#Headers],[Test]],(VLOOKUP(Data[[#This Row],[Product Family]],ProdFam[],3,FALSE)),(VLOOKUP(Data[[#This Row],[Product Family]],ProdFam[],2,FALSE)))</f>
        <v>47</v>
      </c>
    </row>
    <row r="731" spans="2:15" x14ac:dyDescent="0.25">
      <c r="B731" s="1">
        <f>WEEKNUM(Data[[#This Row],[Date]],1)</f>
        <v>47</v>
      </c>
      <c r="C731" s="15">
        <f>YEAR(Data[[#This Row],[Date]])</f>
        <v>2019</v>
      </c>
      <c r="D731" s="5">
        <v>43788</v>
      </c>
      <c r="E731" s="1" t="s">
        <v>118</v>
      </c>
      <c r="F731" s="1">
        <v>29329</v>
      </c>
      <c r="G731" s="1" t="s">
        <v>16</v>
      </c>
      <c r="H731" s="1" t="s">
        <v>113</v>
      </c>
      <c r="I731" s="1" t="s">
        <v>0</v>
      </c>
      <c r="J731" s="1">
        <v>10</v>
      </c>
      <c r="K731" s="1">
        <f>J731*(IF(I731=ProdFam[[#Headers],[Test]],(VLOOKUP(Data[[#This Row],[Product Family]],ProdFam[],3,FALSE)),(VLOOKUP(Data[[#This Row],[Product Family]],ProdFam[],2,FALSE))))</f>
        <v>470</v>
      </c>
      <c r="L731" s="1">
        <v>140</v>
      </c>
      <c r="M731" s="1">
        <v>10</v>
      </c>
      <c r="N731" s="7">
        <f>IFERROR(Data[[#This Row],[Actual Time]]/Data[[#This Row],[QTY Complete]],"")</f>
        <v>14</v>
      </c>
      <c r="O731" s="7">
        <f>IF(I731=ProdFam[[#Headers],[Test]],(VLOOKUP(Data[[#This Row],[Product Family]],ProdFam[],3,FALSE)),(VLOOKUP(Data[[#This Row],[Product Family]],ProdFam[],2,FALSE)))</f>
        <v>47</v>
      </c>
    </row>
    <row r="732" spans="2:15" x14ac:dyDescent="0.25">
      <c r="B732" s="1">
        <f>WEEKNUM(Data[[#This Row],[Date]],1)</f>
        <v>47</v>
      </c>
      <c r="C732" s="15">
        <f>YEAR(Data[[#This Row],[Date]])</f>
        <v>2019</v>
      </c>
      <c r="D732" s="5">
        <v>43788</v>
      </c>
      <c r="E732" s="1" t="s">
        <v>118</v>
      </c>
      <c r="F732" s="1">
        <v>29275</v>
      </c>
      <c r="G732" s="1" t="s">
        <v>40</v>
      </c>
      <c r="H732" s="1" t="s">
        <v>113</v>
      </c>
      <c r="I732" s="1" t="s">
        <v>0</v>
      </c>
      <c r="J732" s="1">
        <v>3</v>
      </c>
      <c r="K732" s="1">
        <f>J732*(IF(I732=ProdFam[[#Headers],[Test]],(VLOOKUP(Data[[#This Row],[Product Family]],ProdFam[],3,FALSE)),(VLOOKUP(Data[[#This Row],[Product Family]],ProdFam[],2,FALSE))))</f>
        <v>141</v>
      </c>
      <c r="L732" s="1">
        <v>170</v>
      </c>
      <c r="M732" s="1">
        <v>3</v>
      </c>
      <c r="N732" s="7">
        <f>IFERROR(Data[[#This Row],[Actual Time]]/Data[[#This Row],[QTY Complete]],"")</f>
        <v>56.666666666666664</v>
      </c>
      <c r="O732" s="7">
        <f>IF(I732=ProdFam[[#Headers],[Test]],(VLOOKUP(Data[[#This Row],[Product Family]],ProdFam[],3,FALSE)),(VLOOKUP(Data[[#This Row],[Product Family]],ProdFam[],2,FALSE)))</f>
        <v>47</v>
      </c>
    </row>
    <row r="733" spans="2:15" x14ac:dyDescent="0.25">
      <c r="B733" s="1">
        <f>WEEKNUM(Data[[#This Row],[Date]],1)</f>
        <v>47</v>
      </c>
      <c r="C733" s="15">
        <f>YEAR(Data[[#This Row],[Date]])</f>
        <v>2019</v>
      </c>
      <c r="D733" s="5">
        <v>43788</v>
      </c>
      <c r="E733" s="1" t="s">
        <v>117</v>
      </c>
      <c r="F733" s="1">
        <v>29280</v>
      </c>
      <c r="G733" s="1" t="s">
        <v>16</v>
      </c>
      <c r="H733" s="1" t="s">
        <v>113</v>
      </c>
      <c r="I733" s="1" t="s">
        <v>1</v>
      </c>
      <c r="J733" s="1">
        <v>10</v>
      </c>
      <c r="K733" s="1">
        <f>J733*(IF(I733=ProdFam[[#Headers],[Test]],(VLOOKUP(Data[[#This Row],[Product Family]],ProdFam[],3,FALSE)),(VLOOKUP(Data[[#This Row],[Product Family]],ProdFam[],2,FALSE))))</f>
        <v>320</v>
      </c>
      <c r="L733" s="1">
        <v>182</v>
      </c>
      <c r="M733" s="1">
        <v>7</v>
      </c>
      <c r="N733" s="7">
        <f>IFERROR(Data[[#This Row],[Actual Time]]/Data[[#This Row],[QTY Complete]],"")</f>
        <v>26</v>
      </c>
      <c r="O733" s="7">
        <f>IF(I733=ProdFam[[#Headers],[Test]],(VLOOKUP(Data[[#This Row],[Product Family]],ProdFam[],3,FALSE)),(VLOOKUP(Data[[#This Row],[Product Family]],ProdFam[],2,FALSE)))</f>
        <v>32</v>
      </c>
    </row>
    <row r="734" spans="2:15" x14ac:dyDescent="0.25">
      <c r="B734" s="1">
        <f>WEEKNUM(Data[[#This Row],[Date]],1)</f>
        <v>47</v>
      </c>
      <c r="C734" s="15">
        <f>YEAR(Data[[#This Row],[Date]])</f>
        <v>2019</v>
      </c>
      <c r="D734" s="5">
        <v>43787</v>
      </c>
      <c r="E734" s="1" t="s">
        <v>117</v>
      </c>
      <c r="F734" s="1">
        <v>29248</v>
      </c>
      <c r="G734" s="1" t="s">
        <v>59</v>
      </c>
      <c r="H734" s="1" t="s">
        <v>113</v>
      </c>
      <c r="I734" s="1" t="s">
        <v>1</v>
      </c>
      <c r="J734" s="1">
        <v>6</v>
      </c>
      <c r="K734" s="1">
        <f>J734*(IF(I734=ProdFam[[#Headers],[Test]],(VLOOKUP(Data[[#This Row],[Product Family]],ProdFam[],3,FALSE)),(VLOOKUP(Data[[#This Row],[Product Family]],ProdFam[],2,FALSE))))</f>
        <v>192</v>
      </c>
      <c r="L734" s="1">
        <v>105</v>
      </c>
      <c r="M734" s="1">
        <v>6</v>
      </c>
      <c r="N734" s="7">
        <f>IFERROR(Data[[#This Row],[Actual Time]]/Data[[#This Row],[QTY Complete]],"")</f>
        <v>17.5</v>
      </c>
      <c r="O734" s="7">
        <f>IF(I734=ProdFam[[#Headers],[Test]],(VLOOKUP(Data[[#This Row],[Product Family]],ProdFam[],3,FALSE)),(VLOOKUP(Data[[#This Row],[Product Family]],ProdFam[],2,FALSE)))</f>
        <v>32</v>
      </c>
    </row>
    <row r="735" spans="2:15" x14ac:dyDescent="0.25">
      <c r="B735" s="1">
        <f>WEEKNUM(Data[[#This Row],[Date]],1)</f>
        <v>47</v>
      </c>
      <c r="C735" s="15">
        <f>YEAR(Data[[#This Row],[Date]])</f>
        <v>2019</v>
      </c>
      <c r="D735" s="5">
        <v>43787</v>
      </c>
      <c r="E735" s="1" t="s">
        <v>117</v>
      </c>
      <c r="F735" s="1">
        <v>29322</v>
      </c>
      <c r="G735" s="1" t="s">
        <v>60</v>
      </c>
      <c r="H735" s="1" t="s">
        <v>113</v>
      </c>
      <c r="I735" s="1" t="s">
        <v>1</v>
      </c>
      <c r="J735" s="1">
        <v>5</v>
      </c>
      <c r="K735" s="1">
        <f>J735*(IF(I735=ProdFam[[#Headers],[Test]],(VLOOKUP(Data[[#This Row],[Product Family]],ProdFam[],3,FALSE)),(VLOOKUP(Data[[#This Row],[Product Family]],ProdFam[],2,FALSE))))</f>
        <v>160</v>
      </c>
      <c r="L735" s="1">
        <v>20</v>
      </c>
      <c r="M735" s="1">
        <v>1</v>
      </c>
      <c r="N735" s="7">
        <f>IFERROR(Data[[#This Row],[Actual Time]]/Data[[#This Row],[QTY Complete]],"")</f>
        <v>20</v>
      </c>
      <c r="O735" s="7">
        <f>IF(I735=ProdFam[[#Headers],[Test]],(VLOOKUP(Data[[#This Row],[Product Family]],ProdFam[],3,FALSE)),(VLOOKUP(Data[[#This Row],[Product Family]],ProdFam[],2,FALSE)))</f>
        <v>32</v>
      </c>
    </row>
    <row r="736" spans="2:15" x14ac:dyDescent="0.25">
      <c r="B736" s="1">
        <f>WEEKNUM(Data[[#This Row],[Date]],1)</f>
        <v>47</v>
      </c>
      <c r="C736" s="15">
        <f>YEAR(Data[[#This Row],[Date]])</f>
        <v>2019</v>
      </c>
      <c r="D736" s="5">
        <v>43787</v>
      </c>
      <c r="E736" s="1" t="s">
        <v>117</v>
      </c>
      <c r="F736" s="1">
        <v>29322</v>
      </c>
      <c r="G736" s="1" t="s">
        <v>60</v>
      </c>
      <c r="H736" s="1" t="s">
        <v>113</v>
      </c>
      <c r="I736" s="1" t="s">
        <v>1</v>
      </c>
      <c r="J736" s="1">
        <v>5</v>
      </c>
      <c r="K736" s="1">
        <f>J736*(IF(I736=ProdFam[[#Headers],[Test]],(VLOOKUP(Data[[#This Row],[Product Family]],ProdFam[],3,FALSE)),(VLOOKUP(Data[[#This Row],[Product Family]],ProdFam[],2,FALSE))))</f>
        <v>160</v>
      </c>
      <c r="L736" s="1">
        <v>135</v>
      </c>
      <c r="M736" s="1">
        <v>4</v>
      </c>
      <c r="N736" s="7">
        <f>IFERROR(Data[[#This Row],[Actual Time]]/Data[[#This Row],[QTY Complete]],"")</f>
        <v>33.75</v>
      </c>
      <c r="O736" s="7">
        <f>IF(I736=ProdFam[[#Headers],[Test]],(VLOOKUP(Data[[#This Row],[Product Family]],ProdFam[],3,FALSE)),(VLOOKUP(Data[[#This Row],[Product Family]],ProdFam[],2,FALSE)))</f>
        <v>32</v>
      </c>
    </row>
    <row r="737" spans="2:15" x14ac:dyDescent="0.25">
      <c r="B737" s="1">
        <f>WEEKNUM(Data[[#This Row],[Date]],1)</f>
        <v>47</v>
      </c>
      <c r="C737" s="15">
        <f>YEAR(Data[[#This Row],[Date]])</f>
        <v>2019</v>
      </c>
      <c r="D737" s="5">
        <v>43787</v>
      </c>
      <c r="E737" s="1" t="s">
        <v>122</v>
      </c>
      <c r="F737" s="1">
        <v>29280</v>
      </c>
      <c r="G737" s="1" t="s">
        <v>16</v>
      </c>
      <c r="H737" s="1" t="s">
        <v>113</v>
      </c>
      <c r="I737" s="1" t="s">
        <v>0</v>
      </c>
      <c r="J737" s="1">
        <v>10</v>
      </c>
      <c r="K737" s="1">
        <f>J737*(IF(I737=ProdFam[[#Headers],[Test]],(VLOOKUP(Data[[#This Row],[Product Family]],ProdFam[],3,FALSE)),(VLOOKUP(Data[[#This Row],[Product Family]],ProdFam[],2,FALSE))))</f>
        <v>470</v>
      </c>
      <c r="L737" s="1">
        <v>150</v>
      </c>
      <c r="M737" s="1">
        <v>10</v>
      </c>
      <c r="N737" s="7">
        <f>IFERROR(Data[[#This Row],[Actual Time]]/Data[[#This Row],[QTY Complete]],"")</f>
        <v>15</v>
      </c>
      <c r="O737" s="7">
        <f>IF(I737=ProdFam[[#Headers],[Test]],(VLOOKUP(Data[[#This Row],[Product Family]],ProdFam[],3,FALSE)),(VLOOKUP(Data[[#This Row],[Product Family]],ProdFam[],2,FALSE)))</f>
        <v>47</v>
      </c>
    </row>
    <row r="738" spans="2:15" x14ac:dyDescent="0.25">
      <c r="B738" s="1">
        <f>WEEKNUM(Data[[#This Row],[Date]],1)</f>
        <v>47</v>
      </c>
      <c r="C738" s="15">
        <f>YEAR(Data[[#This Row],[Date]])</f>
        <v>2019</v>
      </c>
      <c r="D738" s="5">
        <v>43787</v>
      </c>
      <c r="E738" s="1" t="s">
        <v>122</v>
      </c>
      <c r="F738" s="1">
        <v>29322</v>
      </c>
      <c r="G738" s="1" t="s">
        <v>60</v>
      </c>
      <c r="H738" s="1" t="s">
        <v>113</v>
      </c>
      <c r="I738" s="1" t="s">
        <v>0</v>
      </c>
      <c r="J738" s="1">
        <v>5</v>
      </c>
      <c r="K738" s="1">
        <f>J738*(IF(I738=ProdFam[[#Headers],[Test]],(VLOOKUP(Data[[#This Row],[Product Family]],ProdFam[],3,FALSE)),(VLOOKUP(Data[[#This Row],[Product Family]],ProdFam[],2,FALSE))))</f>
        <v>235</v>
      </c>
      <c r="L738" s="1">
        <v>150</v>
      </c>
      <c r="M738" s="1">
        <v>5</v>
      </c>
      <c r="N738" s="7">
        <f>IFERROR(Data[[#This Row],[Actual Time]]/Data[[#This Row],[QTY Complete]],"")</f>
        <v>30</v>
      </c>
      <c r="O738" s="7">
        <f>IF(I738=ProdFam[[#Headers],[Test]],(VLOOKUP(Data[[#This Row],[Product Family]],ProdFam[],3,FALSE)),(VLOOKUP(Data[[#This Row],[Product Family]],ProdFam[],2,FALSE)))</f>
        <v>47</v>
      </c>
    </row>
    <row r="739" spans="2:15" x14ac:dyDescent="0.25">
      <c r="B739" s="1">
        <f>WEEKNUM(Data[[#This Row],[Date]],1)</f>
        <v>47</v>
      </c>
      <c r="C739" s="15">
        <f>YEAR(Data[[#This Row],[Date]])</f>
        <v>2019</v>
      </c>
      <c r="D739" s="5">
        <v>43787</v>
      </c>
      <c r="E739" s="1" t="s">
        <v>122</v>
      </c>
      <c r="F739" s="1">
        <v>29293</v>
      </c>
      <c r="G739" s="1" t="s">
        <v>58</v>
      </c>
      <c r="H739" s="1" t="s">
        <v>112</v>
      </c>
      <c r="I739" s="1" t="s">
        <v>0</v>
      </c>
      <c r="J739" s="1">
        <v>21</v>
      </c>
      <c r="K739" s="1">
        <f>J739*(IF(I739=ProdFam[[#Headers],[Test]],(VLOOKUP(Data[[#This Row],[Product Family]],ProdFam[],3,FALSE)),(VLOOKUP(Data[[#This Row],[Product Family]],ProdFam[],2,FALSE))))</f>
        <v>210</v>
      </c>
      <c r="L739" s="1">
        <v>195</v>
      </c>
      <c r="M739" s="1">
        <v>21</v>
      </c>
      <c r="N739" s="7">
        <f>IFERROR(Data[[#This Row],[Actual Time]]/Data[[#This Row],[QTY Complete]],"")</f>
        <v>9.2857142857142865</v>
      </c>
      <c r="O739" s="7">
        <f>IF(I739=ProdFam[[#Headers],[Test]],(VLOOKUP(Data[[#This Row],[Product Family]],ProdFam[],3,FALSE)),(VLOOKUP(Data[[#This Row],[Product Family]],ProdFam[],2,FALSE)))</f>
        <v>10</v>
      </c>
    </row>
    <row r="740" spans="2:15" x14ac:dyDescent="0.25">
      <c r="B740" s="1">
        <f>WEEKNUM(Data[[#This Row],[Date]],1)</f>
        <v>47</v>
      </c>
      <c r="C740" s="15">
        <f>YEAR(Data[[#This Row],[Date]])</f>
        <v>2019</v>
      </c>
      <c r="D740" s="5">
        <v>43787</v>
      </c>
      <c r="E740" s="1" t="s">
        <v>122</v>
      </c>
      <c r="F740" s="1">
        <v>29289</v>
      </c>
      <c r="G740" s="1" t="s">
        <v>9</v>
      </c>
      <c r="H740" s="1" t="s">
        <v>112</v>
      </c>
      <c r="I740" s="1" t="s">
        <v>0</v>
      </c>
      <c r="J740" s="1">
        <v>18</v>
      </c>
      <c r="K740" s="1">
        <f>J740*(IF(I740=ProdFam[[#Headers],[Test]],(VLOOKUP(Data[[#This Row],[Product Family]],ProdFam[],3,FALSE)),(VLOOKUP(Data[[#This Row],[Product Family]],ProdFam[],2,FALSE))))</f>
        <v>180</v>
      </c>
      <c r="L740" s="1">
        <v>195</v>
      </c>
      <c r="M740" s="1">
        <v>18</v>
      </c>
      <c r="N740" s="7">
        <f>IFERROR(Data[[#This Row],[Actual Time]]/Data[[#This Row],[QTY Complete]],"")</f>
        <v>10.833333333333334</v>
      </c>
      <c r="O740" s="7">
        <f>IF(I740=ProdFam[[#Headers],[Test]],(VLOOKUP(Data[[#This Row],[Product Family]],ProdFam[],3,FALSE)),(VLOOKUP(Data[[#This Row],[Product Family]],ProdFam[],2,FALSE)))</f>
        <v>10</v>
      </c>
    </row>
    <row r="741" spans="2:15" x14ac:dyDescent="0.25">
      <c r="B741" s="1">
        <f>WEEKNUM(Data[[#This Row],[Date]],1)</f>
        <v>47</v>
      </c>
      <c r="C741" s="15">
        <f>YEAR(Data[[#This Row],[Date]])</f>
        <v>2019</v>
      </c>
      <c r="D741" s="5">
        <v>43787</v>
      </c>
      <c r="E741" s="1" t="s">
        <v>119</v>
      </c>
      <c r="F741" s="1">
        <v>29253</v>
      </c>
      <c r="G741" s="1" t="s">
        <v>25</v>
      </c>
      <c r="H741" s="1" t="s">
        <v>113</v>
      </c>
      <c r="I741" s="1" t="s">
        <v>1</v>
      </c>
      <c r="J741" s="1">
        <v>10</v>
      </c>
      <c r="K741" s="1">
        <f>J741*(IF(I741=ProdFam[[#Headers],[Test]],(VLOOKUP(Data[[#This Row],[Product Family]],ProdFam[],3,FALSE)),(VLOOKUP(Data[[#This Row],[Product Family]],ProdFam[],2,FALSE))))</f>
        <v>320</v>
      </c>
      <c r="L741" s="1">
        <v>125</v>
      </c>
      <c r="M741" s="1">
        <v>8</v>
      </c>
      <c r="N741" s="7">
        <f>IFERROR(Data[[#This Row],[Actual Time]]/Data[[#This Row],[QTY Complete]],"")</f>
        <v>15.625</v>
      </c>
      <c r="O741" s="7">
        <f>IF(I741=ProdFam[[#Headers],[Test]],(VLOOKUP(Data[[#This Row],[Product Family]],ProdFam[],3,FALSE)),(VLOOKUP(Data[[#This Row],[Product Family]],ProdFam[],2,FALSE)))</f>
        <v>32</v>
      </c>
    </row>
    <row r="742" spans="2:15" x14ac:dyDescent="0.25">
      <c r="B742" s="1">
        <f>WEEKNUM(Data[[#This Row],[Date]],1)</f>
        <v>47</v>
      </c>
      <c r="C742" s="15">
        <f>YEAR(Data[[#This Row],[Date]])</f>
        <v>2019</v>
      </c>
      <c r="D742" s="5">
        <v>43787</v>
      </c>
      <c r="E742" s="1" t="s">
        <v>119</v>
      </c>
      <c r="F742" s="1">
        <v>29160</v>
      </c>
      <c r="G742" s="1" t="s">
        <v>11</v>
      </c>
      <c r="H742" s="1" t="s">
        <v>113</v>
      </c>
      <c r="I742" s="1" t="s">
        <v>1</v>
      </c>
      <c r="J742" s="1">
        <v>10</v>
      </c>
      <c r="K742" s="1">
        <f>J742*(IF(I742=ProdFam[[#Headers],[Test]],(VLOOKUP(Data[[#This Row],[Product Family]],ProdFam[],3,FALSE)),(VLOOKUP(Data[[#This Row],[Product Family]],ProdFam[],2,FALSE))))</f>
        <v>320</v>
      </c>
      <c r="L742" s="1">
        <v>215</v>
      </c>
      <c r="M742" s="1">
        <v>10</v>
      </c>
      <c r="N742" s="7">
        <f>IFERROR(Data[[#This Row],[Actual Time]]/Data[[#This Row],[QTY Complete]],"")</f>
        <v>21.5</v>
      </c>
      <c r="O742" s="7">
        <f>IF(I742=ProdFam[[#Headers],[Test]],(VLOOKUP(Data[[#This Row],[Product Family]],ProdFam[],3,FALSE)),(VLOOKUP(Data[[#This Row],[Product Family]],ProdFam[],2,FALSE)))</f>
        <v>32</v>
      </c>
    </row>
    <row r="743" spans="2:15" x14ac:dyDescent="0.25">
      <c r="B743" s="1">
        <f>WEEKNUM(Data[[#This Row],[Date]],1)</f>
        <v>47</v>
      </c>
      <c r="C743" s="15">
        <f>YEAR(Data[[#This Row],[Date]])</f>
        <v>2019</v>
      </c>
      <c r="D743" s="5">
        <v>43787</v>
      </c>
      <c r="E743" s="1" t="s">
        <v>119</v>
      </c>
      <c r="F743" s="1">
        <v>29253</v>
      </c>
      <c r="G743" s="1" t="s">
        <v>25</v>
      </c>
      <c r="H743" s="1" t="s">
        <v>113</v>
      </c>
      <c r="I743" s="1" t="s">
        <v>1</v>
      </c>
      <c r="J743" s="1">
        <v>2</v>
      </c>
      <c r="K743" s="1">
        <f>J743*(IF(I743=ProdFam[[#Headers],[Test]],(VLOOKUP(Data[[#This Row],[Product Family]],ProdFam[],3,FALSE)),(VLOOKUP(Data[[#This Row],[Product Family]],ProdFam[],2,FALSE))))</f>
        <v>64</v>
      </c>
      <c r="L743" s="1">
        <v>30</v>
      </c>
      <c r="M743" s="1">
        <v>2</v>
      </c>
      <c r="N743" s="7">
        <f>IFERROR(Data[[#This Row],[Actual Time]]/Data[[#This Row],[QTY Complete]],"")</f>
        <v>15</v>
      </c>
      <c r="O743" s="7">
        <f>IF(I743=ProdFam[[#Headers],[Test]],(VLOOKUP(Data[[#This Row],[Product Family]],ProdFam[],3,FALSE)),(VLOOKUP(Data[[#This Row],[Product Family]],ProdFam[],2,FALSE)))</f>
        <v>32</v>
      </c>
    </row>
    <row r="744" spans="2:15" x14ac:dyDescent="0.25">
      <c r="B744" s="1">
        <f>WEEKNUM(Data[[#This Row],[Date]],1)</f>
        <v>47</v>
      </c>
      <c r="C744" s="15">
        <f>YEAR(Data[[#This Row],[Date]])</f>
        <v>2019</v>
      </c>
      <c r="D744" s="5">
        <v>43787</v>
      </c>
      <c r="E744" s="1" t="s">
        <v>119</v>
      </c>
      <c r="F744" s="1">
        <v>29323</v>
      </c>
      <c r="G744" s="1" t="s">
        <v>25</v>
      </c>
      <c r="H744" s="1" t="s">
        <v>113</v>
      </c>
      <c r="I744" s="1" t="s">
        <v>1</v>
      </c>
      <c r="J744" s="1">
        <v>10</v>
      </c>
      <c r="K744" s="1">
        <f>J744*(IF(I744=ProdFam[[#Headers],[Test]],(VLOOKUP(Data[[#This Row],[Product Family]],ProdFam[],3,FALSE)),(VLOOKUP(Data[[#This Row],[Product Family]],ProdFam[],2,FALSE))))</f>
        <v>320</v>
      </c>
      <c r="L744" s="1">
        <v>75</v>
      </c>
      <c r="M744" s="1">
        <v>0</v>
      </c>
      <c r="N744" s="7" t="str">
        <f>IFERROR(Data[[#This Row],[Actual Time]]/Data[[#This Row],[QTY Complete]],"")</f>
        <v/>
      </c>
      <c r="O744" s="7">
        <f>IF(I744=ProdFam[[#Headers],[Test]],(VLOOKUP(Data[[#This Row],[Product Family]],ProdFam[],3,FALSE)),(VLOOKUP(Data[[#This Row],[Product Family]],ProdFam[],2,FALSE)))</f>
        <v>32</v>
      </c>
    </row>
    <row r="745" spans="2:15" x14ac:dyDescent="0.25">
      <c r="B745" s="1">
        <f>WEEKNUM(Data[[#This Row],[Date]],1)</f>
        <v>47</v>
      </c>
      <c r="C745" s="15">
        <f>YEAR(Data[[#This Row],[Date]])</f>
        <v>2019</v>
      </c>
      <c r="D745" s="5">
        <v>43787</v>
      </c>
      <c r="E745" s="1" t="s">
        <v>118</v>
      </c>
      <c r="F745" s="1">
        <v>29248</v>
      </c>
      <c r="G745" s="1" t="s">
        <v>59</v>
      </c>
      <c r="H745" s="1" t="s">
        <v>113</v>
      </c>
      <c r="I745" s="1" t="s">
        <v>0</v>
      </c>
      <c r="J745" s="1">
        <v>6</v>
      </c>
      <c r="K745" s="1">
        <f>J745*(IF(I745=ProdFam[[#Headers],[Test]],(VLOOKUP(Data[[#This Row],[Product Family]],ProdFam[],3,FALSE)),(VLOOKUP(Data[[#This Row],[Product Family]],ProdFam[],2,FALSE))))</f>
        <v>282</v>
      </c>
      <c r="L745" s="1">
        <v>50</v>
      </c>
      <c r="M745" s="1">
        <v>6</v>
      </c>
      <c r="N745" s="7">
        <f>IFERROR(Data[[#This Row],[Actual Time]]/Data[[#This Row],[QTY Complete]],"")</f>
        <v>8.3333333333333339</v>
      </c>
      <c r="O745" s="7">
        <f>IF(I745=ProdFam[[#Headers],[Test]],(VLOOKUP(Data[[#This Row],[Product Family]],ProdFam[],3,FALSE)),(VLOOKUP(Data[[#This Row],[Product Family]],ProdFam[],2,FALSE)))</f>
        <v>47</v>
      </c>
    </row>
    <row r="746" spans="2:15" x14ac:dyDescent="0.25">
      <c r="B746" s="1">
        <f>WEEKNUM(Data[[#This Row],[Date]],1)</f>
        <v>47</v>
      </c>
      <c r="C746" s="15">
        <f>YEAR(Data[[#This Row],[Date]])</f>
        <v>2019</v>
      </c>
      <c r="D746" s="5">
        <v>43787</v>
      </c>
      <c r="E746" s="1" t="s">
        <v>118</v>
      </c>
      <c r="F746" s="1">
        <v>29075</v>
      </c>
      <c r="G746" s="1" t="s">
        <v>134</v>
      </c>
      <c r="H746" s="1" t="s">
        <v>129</v>
      </c>
      <c r="I746" s="1" t="s">
        <v>0</v>
      </c>
      <c r="J746" s="1">
        <v>2</v>
      </c>
      <c r="K746" s="1">
        <f>J746*(IF(I746=ProdFam[[#Headers],[Test]],(VLOOKUP(Data[[#This Row],[Product Family]],ProdFam[],3,FALSE)),(VLOOKUP(Data[[#This Row],[Product Family]],ProdFam[],2,FALSE))))</f>
        <v>36</v>
      </c>
      <c r="L746" s="1">
        <v>35</v>
      </c>
      <c r="M746" s="1">
        <v>2</v>
      </c>
      <c r="N746" s="7">
        <f>IFERROR(Data[[#This Row],[Actual Time]]/Data[[#This Row],[QTY Complete]],"")</f>
        <v>17.5</v>
      </c>
      <c r="O746" s="7">
        <f>IF(I746=ProdFam[[#Headers],[Test]],(VLOOKUP(Data[[#This Row],[Product Family]],ProdFam[],3,FALSE)),(VLOOKUP(Data[[#This Row],[Product Family]],ProdFam[],2,FALSE)))</f>
        <v>18</v>
      </c>
    </row>
    <row r="747" spans="2:15" x14ac:dyDescent="0.25">
      <c r="B747" s="1">
        <f>WEEKNUM(Data[[#This Row],[Date]],1)</f>
        <v>47</v>
      </c>
      <c r="C747" s="15">
        <f>YEAR(Data[[#This Row],[Date]])</f>
        <v>2019</v>
      </c>
      <c r="D747" s="5">
        <v>43787</v>
      </c>
      <c r="E747" s="1" t="s">
        <v>118</v>
      </c>
      <c r="F747" s="1">
        <v>29294</v>
      </c>
      <c r="G747" s="1" t="s">
        <v>158</v>
      </c>
      <c r="H747" s="1" t="s">
        <v>129</v>
      </c>
      <c r="I747" s="1" t="s">
        <v>0</v>
      </c>
      <c r="J747" s="1">
        <v>4</v>
      </c>
      <c r="K747" s="1">
        <f>J747*(IF(I747=ProdFam[[#Headers],[Test]],(VLOOKUP(Data[[#This Row],[Product Family]],ProdFam[],3,FALSE)),(VLOOKUP(Data[[#This Row],[Product Family]],ProdFam[],2,FALSE))))</f>
        <v>72</v>
      </c>
      <c r="L747" s="1">
        <v>125</v>
      </c>
      <c r="M747" s="1">
        <v>4</v>
      </c>
      <c r="N747" s="7">
        <f>IFERROR(Data[[#This Row],[Actual Time]]/Data[[#This Row],[QTY Complete]],"")</f>
        <v>31.25</v>
      </c>
      <c r="O747" s="7">
        <f>IF(I747=ProdFam[[#Headers],[Test]],(VLOOKUP(Data[[#This Row],[Product Family]],ProdFam[],3,FALSE)),(VLOOKUP(Data[[#This Row],[Product Family]],ProdFam[],2,FALSE)))</f>
        <v>18</v>
      </c>
    </row>
    <row r="748" spans="2:15" x14ac:dyDescent="0.25">
      <c r="B748" s="1">
        <f>WEEKNUM(Data[[#This Row],[Date]],1)</f>
        <v>47</v>
      </c>
      <c r="C748" s="15">
        <f>YEAR(Data[[#This Row],[Date]])</f>
        <v>2019</v>
      </c>
      <c r="D748" s="5">
        <v>43787</v>
      </c>
      <c r="E748" s="1" t="s">
        <v>118</v>
      </c>
      <c r="F748" s="1">
        <v>29324</v>
      </c>
      <c r="G748" s="1" t="s">
        <v>66</v>
      </c>
      <c r="H748" s="1" t="s">
        <v>113</v>
      </c>
      <c r="I748" s="1" t="s">
        <v>0</v>
      </c>
      <c r="J748" s="1">
        <v>1</v>
      </c>
      <c r="K748" s="1">
        <f>J748*(IF(I748=ProdFam[[#Headers],[Test]],(VLOOKUP(Data[[#This Row],[Product Family]],ProdFam[],3,FALSE)),(VLOOKUP(Data[[#This Row],[Product Family]],ProdFam[],2,FALSE))))</f>
        <v>47</v>
      </c>
      <c r="L748" s="1">
        <v>45</v>
      </c>
      <c r="M748" s="1">
        <v>1</v>
      </c>
      <c r="N748" s="7">
        <f>IFERROR(Data[[#This Row],[Actual Time]]/Data[[#This Row],[QTY Complete]],"")</f>
        <v>45</v>
      </c>
      <c r="O748" s="7">
        <f>IF(I748=ProdFam[[#Headers],[Test]],(VLOOKUP(Data[[#This Row],[Product Family]],ProdFam[],3,FALSE)),(VLOOKUP(Data[[#This Row],[Product Family]],ProdFam[],2,FALSE)))</f>
        <v>47</v>
      </c>
    </row>
    <row r="749" spans="2:15" x14ac:dyDescent="0.25">
      <c r="B749" s="1">
        <f>WEEKNUM(Data[[#This Row],[Date]],1)</f>
        <v>47</v>
      </c>
      <c r="C749" s="15">
        <f>YEAR(Data[[#This Row],[Date]])</f>
        <v>2019</v>
      </c>
      <c r="D749" s="5">
        <v>43787</v>
      </c>
      <c r="E749" s="1" t="s">
        <v>118</v>
      </c>
      <c r="F749" s="1">
        <v>29327</v>
      </c>
      <c r="G749" s="1" t="s">
        <v>27</v>
      </c>
      <c r="H749" s="1" t="s">
        <v>113</v>
      </c>
      <c r="I749" s="1" t="s">
        <v>0</v>
      </c>
      <c r="J749" s="1">
        <v>4</v>
      </c>
      <c r="K749" s="1">
        <f>J749*(IF(I749=ProdFam[[#Headers],[Test]],(VLOOKUP(Data[[#This Row],[Product Family]],ProdFam[],3,FALSE)),(VLOOKUP(Data[[#This Row],[Product Family]],ProdFam[],2,FALSE))))</f>
        <v>188</v>
      </c>
      <c r="L749" s="1">
        <v>25</v>
      </c>
      <c r="M749" s="1">
        <v>0</v>
      </c>
      <c r="N749" s="7" t="str">
        <f>IFERROR(Data[[#This Row],[Actual Time]]/Data[[#This Row],[QTY Complete]],"")</f>
        <v/>
      </c>
      <c r="O749" s="7">
        <f>IF(I749=ProdFam[[#Headers],[Test]],(VLOOKUP(Data[[#This Row],[Product Family]],ProdFam[],3,FALSE)),(VLOOKUP(Data[[#This Row],[Product Family]],ProdFam[],2,FALSE)))</f>
        <v>47</v>
      </c>
    </row>
    <row r="750" spans="2:15" x14ac:dyDescent="0.25">
      <c r="B750" s="1">
        <f>WEEKNUM(Data[[#This Row],[Date]],1)</f>
        <v>47</v>
      </c>
      <c r="C750" s="15">
        <f>YEAR(Data[[#This Row],[Date]])</f>
        <v>2019</v>
      </c>
      <c r="D750" s="5">
        <v>43787</v>
      </c>
      <c r="E750" s="1" t="s">
        <v>111</v>
      </c>
      <c r="F750" s="1">
        <v>29282</v>
      </c>
      <c r="G750" s="1" t="s">
        <v>8</v>
      </c>
      <c r="H750" s="1" t="s">
        <v>112</v>
      </c>
      <c r="I750" s="1" t="s">
        <v>1</v>
      </c>
      <c r="J750" s="1">
        <v>21</v>
      </c>
      <c r="K750" s="1">
        <f>J750*(IF(I750=ProdFam[[#Headers],[Test]],(VLOOKUP(Data[[#This Row],[Product Family]],ProdFam[],3,FALSE)),(VLOOKUP(Data[[#This Row],[Product Family]],ProdFam[],2,FALSE))))</f>
        <v>210</v>
      </c>
      <c r="L750" s="1">
        <v>120</v>
      </c>
      <c r="M750" s="1">
        <v>21</v>
      </c>
      <c r="N750" s="7">
        <f>IFERROR(Data[[#This Row],[Actual Time]]/Data[[#This Row],[QTY Complete]],"")</f>
        <v>5.7142857142857144</v>
      </c>
      <c r="O750" s="7">
        <f>IF(I750=ProdFam[[#Headers],[Test]],(VLOOKUP(Data[[#This Row],[Product Family]],ProdFam[],3,FALSE)),(VLOOKUP(Data[[#This Row],[Product Family]],ProdFam[],2,FALSE)))</f>
        <v>10</v>
      </c>
    </row>
    <row r="751" spans="2:15" x14ac:dyDescent="0.25">
      <c r="B751" s="1">
        <f>WEEKNUM(Data[[#This Row],[Date]],1)</f>
        <v>47</v>
      </c>
      <c r="C751" s="15">
        <f>YEAR(Data[[#This Row],[Date]])</f>
        <v>2019</v>
      </c>
      <c r="D751" s="5">
        <v>43787</v>
      </c>
      <c r="E751" s="1" t="s">
        <v>111</v>
      </c>
      <c r="F751" s="1">
        <v>29167</v>
      </c>
      <c r="G751" s="1" t="s">
        <v>58</v>
      </c>
      <c r="H751" s="1" t="s">
        <v>112</v>
      </c>
      <c r="I751" s="1" t="s">
        <v>1</v>
      </c>
      <c r="J751" s="1">
        <v>21</v>
      </c>
      <c r="K751" s="1">
        <f>J751*(IF(I751=ProdFam[[#Headers],[Test]],(VLOOKUP(Data[[#This Row],[Product Family]],ProdFam[],3,FALSE)),(VLOOKUP(Data[[#This Row],[Product Family]],ProdFam[],2,FALSE))))</f>
        <v>210</v>
      </c>
      <c r="L751" s="1">
        <v>150</v>
      </c>
      <c r="M751" s="1">
        <v>21</v>
      </c>
      <c r="N751" s="7">
        <f>IFERROR(Data[[#This Row],[Actual Time]]/Data[[#This Row],[QTY Complete]],"")</f>
        <v>7.1428571428571432</v>
      </c>
      <c r="O751" s="7">
        <f>IF(I751=ProdFam[[#Headers],[Test]],(VLOOKUP(Data[[#This Row],[Product Family]],ProdFam[],3,FALSE)),(VLOOKUP(Data[[#This Row],[Product Family]],ProdFam[],2,FALSE)))</f>
        <v>10</v>
      </c>
    </row>
    <row r="752" spans="2:15" x14ac:dyDescent="0.25">
      <c r="B752" s="1">
        <f>WEEKNUM(Data[[#This Row],[Date]],1)</f>
        <v>47</v>
      </c>
      <c r="C752" s="15">
        <f>YEAR(Data[[#This Row],[Date]])</f>
        <v>2019</v>
      </c>
      <c r="D752" s="5">
        <v>43787</v>
      </c>
      <c r="E752" s="1" t="s">
        <v>111</v>
      </c>
      <c r="F752" s="1">
        <v>29281</v>
      </c>
      <c r="G752" s="1" t="s">
        <v>2</v>
      </c>
      <c r="H752" s="1" t="s">
        <v>112</v>
      </c>
      <c r="I752" s="1" t="s">
        <v>1</v>
      </c>
      <c r="J752" s="1">
        <v>0</v>
      </c>
      <c r="K752" s="1">
        <f>J752*(IF(I752=ProdFam[[#Headers],[Test]],(VLOOKUP(Data[[#This Row],[Product Family]],ProdFam[],3,FALSE)),(VLOOKUP(Data[[#This Row],[Product Family]],ProdFam[],2,FALSE))))</f>
        <v>0</v>
      </c>
      <c r="L752" s="1">
        <v>60</v>
      </c>
      <c r="M752" s="1">
        <v>0</v>
      </c>
      <c r="N752" s="7" t="str">
        <f>IFERROR(Data[[#This Row],[Actual Time]]/Data[[#This Row],[QTY Complete]],"")</f>
        <v/>
      </c>
      <c r="O752" s="7">
        <f>IF(I752=ProdFam[[#Headers],[Test]],(VLOOKUP(Data[[#This Row],[Product Family]],ProdFam[],3,FALSE)),(VLOOKUP(Data[[#This Row],[Product Family]],ProdFam[],2,FALSE)))</f>
        <v>10</v>
      </c>
    </row>
    <row r="753" spans="2:15" x14ac:dyDescent="0.25">
      <c r="B753" s="1">
        <f>WEEKNUM(Data[[#This Row],[Date]],1)</f>
        <v>47</v>
      </c>
      <c r="C753" s="15">
        <f>YEAR(Data[[#This Row],[Date]])</f>
        <v>2019</v>
      </c>
      <c r="D753" s="5">
        <v>43787</v>
      </c>
      <c r="E753" s="1" t="s">
        <v>111</v>
      </c>
      <c r="F753" s="1">
        <v>29197</v>
      </c>
      <c r="G753" s="1" t="s">
        <v>159</v>
      </c>
      <c r="H753" s="1" t="s">
        <v>112</v>
      </c>
      <c r="I753" s="1" t="s">
        <v>1</v>
      </c>
      <c r="J753" s="1">
        <v>12</v>
      </c>
      <c r="K753" s="1">
        <f>J753*(IF(I753=ProdFam[[#Headers],[Test]],(VLOOKUP(Data[[#This Row],[Product Family]],ProdFam[],3,FALSE)),(VLOOKUP(Data[[#This Row],[Product Family]],ProdFam[],2,FALSE))))</f>
        <v>120</v>
      </c>
      <c r="L753" s="1">
        <v>75</v>
      </c>
      <c r="M753" s="1">
        <v>12</v>
      </c>
      <c r="N753" s="7">
        <f>IFERROR(Data[[#This Row],[Actual Time]]/Data[[#This Row],[QTY Complete]],"")</f>
        <v>6.25</v>
      </c>
      <c r="O753" s="7">
        <f>IF(I753=ProdFam[[#Headers],[Test]],(VLOOKUP(Data[[#This Row],[Product Family]],ProdFam[],3,FALSE)),(VLOOKUP(Data[[#This Row],[Product Family]],ProdFam[],2,FALSE)))</f>
        <v>10</v>
      </c>
    </row>
    <row r="754" spans="2:15" x14ac:dyDescent="0.25">
      <c r="B754" s="1">
        <f>WEEKNUM(Data[[#This Row],[Date]],1)</f>
        <v>47</v>
      </c>
      <c r="C754" s="15">
        <f>YEAR(Data[[#This Row],[Date]])</f>
        <v>2019</v>
      </c>
      <c r="D754" s="5">
        <v>43787</v>
      </c>
      <c r="E754" s="1" t="s">
        <v>111</v>
      </c>
      <c r="F754" s="1">
        <v>29247</v>
      </c>
      <c r="G754" s="1" t="s">
        <v>84</v>
      </c>
      <c r="H754" s="1" t="s">
        <v>112</v>
      </c>
      <c r="I754" s="1" t="s">
        <v>1</v>
      </c>
      <c r="J754" s="1">
        <v>6</v>
      </c>
      <c r="K754" s="1">
        <f>J754*(IF(I754=ProdFam[[#Headers],[Test]],(VLOOKUP(Data[[#This Row],[Product Family]],ProdFam[],3,FALSE)),(VLOOKUP(Data[[#This Row],[Product Family]],ProdFam[],2,FALSE))))</f>
        <v>60</v>
      </c>
      <c r="L754" s="1">
        <v>40</v>
      </c>
      <c r="M754" s="1">
        <v>6</v>
      </c>
      <c r="N754" s="7">
        <f>IFERROR(Data[[#This Row],[Actual Time]]/Data[[#This Row],[QTY Complete]],"")</f>
        <v>6.666666666666667</v>
      </c>
      <c r="O754" s="7">
        <f>IF(I754=ProdFam[[#Headers],[Test]],(VLOOKUP(Data[[#This Row],[Product Family]],ProdFam[],3,FALSE)),(VLOOKUP(Data[[#This Row],[Product Family]],ProdFam[],2,FALSE)))</f>
        <v>10</v>
      </c>
    </row>
    <row r="755" spans="2:15" x14ac:dyDescent="0.25">
      <c r="B755" s="1">
        <f>WEEKNUM(Data[[#This Row],[Date]],1)</f>
        <v>46</v>
      </c>
      <c r="C755" s="15">
        <f>YEAR(Data[[#This Row],[Date]])</f>
        <v>2019</v>
      </c>
      <c r="D755" s="5">
        <v>43784</v>
      </c>
      <c r="E755" s="1" t="s">
        <v>111</v>
      </c>
      <c r="F755" s="1">
        <v>28996</v>
      </c>
      <c r="G755" s="1" t="s">
        <v>16</v>
      </c>
      <c r="H755" s="1" t="s">
        <v>113</v>
      </c>
      <c r="I755" s="1" t="s">
        <v>1</v>
      </c>
      <c r="J755" s="1">
        <v>10</v>
      </c>
      <c r="K755" s="1">
        <f>J755*(IF(I755=ProdFam[[#Headers],[Test]],(VLOOKUP(Data[[#This Row],[Product Family]],ProdFam[],3,FALSE)),(VLOOKUP(Data[[#This Row],[Product Family]],ProdFam[],2,FALSE))))</f>
        <v>320</v>
      </c>
      <c r="L755" s="1">
        <v>240</v>
      </c>
      <c r="M755" s="1">
        <v>10</v>
      </c>
      <c r="N755" s="7">
        <f>IFERROR(Data[[#This Row],[Actual Time]]/Data[[#This Row],[QTY Complete]],"")</f>
        <v>24</v>
      </c>
      <c r="O755" s="7">
        <f>IF(I755=ProdFam[[#Headers],[Test]],(VLOOKUP(Data[[#This Row],[Product Family]],ProdFam[],3,FALSE)),(VLOOKUP(Data[[#This Row],[Product Family]],ProdFam[],2,FALSE)))</f>
        <v>32</v>
      </c>
    </row>
    <row r="756" spans="2:15" x14ac:dyDescent="0.25">
      <c r="B756" s="1">
        <f>WEEKNUM(Data[[#This Row],[Date]],1)</f>
        <v>46</v>
      </c>
      <c r="C756" s="15">
        <f>YEAR(Data[[#This Row],[Date]])</f>
        <v>2019</v>
      </c>
      <c r="D756" s="5">
        <v>43784</v>
      </c>
      <c r="E756" s="1" t="s">
        <v>111</v>
      </c>
      <c r="F756" s="1">
        <v>29251</v>
      </c>
      <c r="G756" s="1" t="s">
        <v>25</v>
      </c>
      <c r="H756" s="1" t="s">
        <v>113</v>
      </c>
      <c r="I756" s="1" t="s">
        <v>1</v>
      </c>
      <c r="J756" s="1">
        <v>10</v>
      </c>
      <c r="K756" s="1">
        <f>J756*(IF(I756=ProdFam[[#Headers],[Test]],(VLOOKUP(Data[[#This Row],[Product Family]],ProdFam[],3,FALSE)),(VLOOKUP(Data[[#This Row],[Product Family]],ProdFam[],2,FALSE))))</f>
        <v>320</v>
      </c>
      <c r="L756" s="1">
        <v>210</v>
      </c>
      <c r="M756" s="1">
        <v>10</v>
      </c>
      <c r="N756" s="7">
        <f>IFERROR(Data[[#This Row],[Actual Time]]/Data[[#This Row],[QTY Complete]],"")</f>
        <v>21</v>
      </c>
      <c r="O756" s="7">
        <f>IF(I756=ProdFam[[#Headers],[Test]],(VLOOKUP(Data[[#This Row],[Product Family]],ProdFam[],3,FALSE)),(VLOOKUP(Data[[#This Row],[Product Family]],ProdFam[],2,FALSE)))</f>
        <v>32</v>
      </c>
    </row>
    <row r="757" spans="2:15" x14ac:dyDescent="0.25">
      <c r="B757" s="1">
        <f>WEEKNUM(Data[[#This Row],[Date]],1)</f>
        <v>46</v>
      </c>
      <c r="C757" s="15">
        <f>YEAR(Data[[#This Row],[Date]])</f>
        <v>2019</v>
      </c>
      <c r="D757" s="5">
        <v>43783</v>
      </c>
      <c r="E757" s="1" t="s">
        <v>119</v>
      </c>
      <c r="F757" s="1" t="s">
        <v>160</v>
      </c>
      <c r="G757" s="1" t="s">
        <v>63</v>
      </c>
      <c r="H757" s="1" t="s">
        <v>115</v>
      </c>
      <c r="I757" s="1" t="s">
        <v>1</v>
      </c>
      <c r="J757" s="1">
        <v>50</v>
      </c>
      <c r="K757" s="1">
        <f>J757*(IF(I757=ProdFam[[#Headers],[Test]],(VLOOKUP(Data[[#This Row],[Product Family]],ProdFam[],3,FALSE)),(VLOOKUP(Data[[#This Row],[Product Family]],ProdFam[],2,FALSE))))</f>
        <v>1200</v>
      </c>
      <c r="L757" s="1">
        <v>140</v>
      </c>
      <c r="M757" s="1">
        <v>0</v>
      </c>
      <c r="N757" s="7" t="str">
        <f>IFERROR(Data[[#This Row],[Actual Time]]/Data[[#This Row],[QTY Complete]],"")</f>
        <v/>
      </c>
      <c r="O757" s="7">
        <f>IF(I757=ProdFam[[#Headers],[Test]],(VLOOKUP(Data[[#This Row],[Product Family]],ProdFam[],3,FALSE)),(VLOOKUP(Data[[#This Row],[Product Family]],ProdFam[],2,FALSE)))</f>
        <v>24</v>
      </c>
    </row>
    <row r="758" spans="2:15" x14ac:dyDescent="0.25">
      <c r="B758" s="1">
        <f>WEEKNUM(Data[[#This Row],[Date]],1)</f>
        <v>46</v>
      </c>
      <c r="C758" s="15">
        <f>YEAR(Data[[#This Row],[Date]])</f>
        <v>2019</v>
      </c>
      <c r="D758" s="5">
        <v>43783</v>
      </c>
      <c r="E758" s="1" t="s">
        <v>119</v>
      </c>
      <c r="F758" s="1">
        <v>29160</v>
      </c>
      <c r="G758" s="1" t="s">
        <v>11</v>
      </c>
      <c r="H758" s="1" t="s">
        <v>113</v>
      </c>
      <c r="I758" s="1" t="s">
        <v>1</v>
      </c>
      <c r="J758" s="1">
        <v>10</v>
      </c>
      <c r="K758" s="1">
        <f>J758*(IF(I758=ProdFam[[#Headers],[Test]],(VLOOKUP(Data[[#This Row],[Product Family]],ProdFam[],3,FALSE)),(VLOOKUP(Data[[#This Row],[Product Family]],ProdFam[],2,FALSE))))</f>
        <v>320</v>
      </c>
      <c r="L758" s="1">
        <v>150</v>
      </c>
      <c r="M758" s="1">
        <v>10</v>
      </c>
      <c r="N758" s="7">
        <f>IFERROR(Data[[#This Row],[Actual Time]]/Data[[#This Row],[QTY Complete]],"")</f>
        <v>15</v>
      </c>
      <c r="O758" s="7">
        <f>IF(I758=ProdFam[[#Headers],[Test]],(VLOOKUP(Data[[#This Row],[Product Family]],ProdFam[],3,FALSE)),(VLOOKUP(Data[[#This Row],[Product Family]],ProdFam[],2,FALSE)))</f>
        <v>32</v>
      </c>
    </row>
    <row r="759" spans="2:15" x14ac:dyDescent="0.25">
      <c r="B759" s="1">
        <f>WEEKNUM(Data[[#This Row],[Date]],1)</f>
        <v>46</v>
      </c>
      <c r="C759" s="15">
        <f>YEAR(Data[[#This Row],[Date]])</f>
        <v>2019</v>
      </c>
      <c r="D759" s="5">
        <v>43784</v>
      </c>
      <c r="E759" s="1" t="s">
        <v>117</v>
      </c>
      <c r="F759" s="1">
        <v>28993</v>
      </c>
      <c r="G759" s="1" t="s">
        <v>59</v>
      </c>
      <c r="H759" s="1" t="s">
        <v>113</v>
      </c>
      <c r="I759" s="1" t="s">
        <v>1</v>
      </c>
      <c r="J759" s="1">
        <v>5</v>
      </c>
      <c r="K759" s="1">
        <f>J759*(IF(I759=ProdFam[[#Headers],[Test]],(VLOOKUP(Data[[#This Row],[Product Family]],ProdFam[],3,FALSE)),(VLOOKUP(Data[[#This Row],[Product Family]],ProdFam[],2,FALSE))))</f>
        <v>160</v>
      </c>
      <c r="L759" s="1">
        <v>100</v>
      </c>
      <c r="M759" s="1">
        <v>5</v>
      </c>
      <c r="N759" s="7">
        <f>IFERROR(Data[[#This Row],[Actual Time]]/Data[[#This Row],[QTY Complete]],"")</f>
        <v>20</v>
      </c>
      <c r="O759" s="7">
        <f>IF(I759=ProdFam[[#Headers],[Test]],(VLOOKUP(Data[[#This Row],[Product Family]],ProdFam[],3,FALSE)),(VLOOKUP(Data[[#This Row],[Product Family]],ProdFam[],2,FALSE)))</f>
        <v>32</v>
      </c>
    </row>
    <row r="760" spans="2:15" x14ac:dyDescent="0.25">
      <c r="B760" s="1">
        <f>WEEKNUM(Data[[#This Row],[Date]],1)</f>
        <v>46</v>
      </c>
      <c r="C760" s="15">
        <f>YEAR(Data[[#This Row],[Date]])</f>
        <v>2019</v>
      </c>
      <c r="D760" s="5">
        <v>43784</v>
      </c>
      <c r="E760" s="1" t="s">
        <v>117</v>
      </c>
      <c r="F760" s="1">
        <v>28993</v>
      </c>
      <c r="G760" s="1" t="s">
        <v>16</v>
      </c>
      <c r="H760" s="1" t="s">
        <v>113</v>
      </c>
      <c r="I760" s="1" t="s">
        <v>1</v>
      </c>
      <c r="J760" s="1">
        <v>10</v>
      </c>
      <c r="K760" s="1">
        <f>J760*(IF(I760=ProdFam[[#Headers],[Test]],(VLOOKUP(Data[[#This Row],[Product Family]],ProdFam[],3,FALSE)),(VLOOKUP(Data[[#This Row],[Product Family]],ProdFam[],2,FALSE))))</f>
        <v>320</v>
      </c>
      <c r="L760" s="1">
        <v>97</v>
      </c>
      <c r="M760" s="1">
        <v>9</v>
      </c>
      <c r="N760" s="7">
        <f>IFERROR(Data[[#This Row],[Actual Time]]/Data[[#This Row],[QTY Complete]],"")</f>
        <v>10.777777777777779</v>
      </c>
      <c r="O760" s="7">
        <f>IF(I760=ProdFam[[#Headers],[Test]],(VLOOKUP(Data[[#This Row],[Product Family]],ProdFam[],3,FALSE)),(VLOOKUP(Data[[#This Row],[Product Family]],ProdFam[],2,FALSE)))</f>
        <v>32</v>
      </c>
    </row>
    <row r="761" spans="2:15" x14ac:dyDescent="0.25">
      <c r="B761" s="1">
        <f>WEEKNUM(Data[[#This Row],[Date]],1)</f>
        <v>46</v>
      </c>
      <c r="C761" s="15">
        <f>YEAR(Data[[#This Row],[Date]])</f>
        <v>2019</v>
      </c>
      <c r="D761" s="5">
        <v>43784</v>
      </c>
      <c r="E761" s="1" t="s">
        <v>117</v>
      </c>
      <c r="F761" s="1">
        <v>29166</v>
      </c>
      <c r="G761" s="1" t="s">
        <v>161</v>
      </c>
      <c r="H761" s="1" t="s">
        <v>113</v>
      </c>
      <c r="I761" s="1" t="s">
        <v>1</v>
      </c>
      <c r="J761" s="1">
        <v>2</v>
      </c>
      <c r="K761" s="1">
        <f>J761*(IF(I761=ProdFam[[#Headers],[Test]],(VLOOKUP(Data[[#This Row],[Product Family]],ProdFam[],3,FALSE)),(VLOOKUP(Data[[#This Row],[Product Family]],ProdFam[],2,FALSE))))</f>
        <v>64</v>
      </c>
      <c r="L761" s="1">
        <v>95</v>
      </c>
      <c r="M761" s="1">
        <v>2</v>
      </c>
      <c r="N761" s="7">
        <f>IFERROR(Data[[#This Row],[Actual Time]]/Data[[#This Row],[QTY Complete]],"")</f>
        <v>47.5</v>
      </c>
      <c r="O761" s="7">
        <f>IF(I761=ProdFam[[#Headers],[Test]],(VLOOKUP(Data[[#This Row],[Product Family]],ProdFam[],3,FALSE)),(VLOOKUP(Data[[#This Row],[Product Family]],ProdFam[],2,FALSE)))</f>
        <v>32</v>
      </c>
    </row>
    <row r="762" spans="2:15" x14ac:dyDescent="0.25">
      <c r="B762" s="1">
        <f>WEEKNUM(Data[[#This Row],[Date]],1)</f>
        <v>46</v>
      </c>
      <c r="C762" s="15">
        <f>YEAR(Data[[#This Row],[Date]])</f>
        <v>2019</v>
      </c>
      <c r="D762" s="5">
        <v>43784</v>
      </c>
      <c r="E762" s="1" t="s">
        <v>122</v>
      </c>
      <c r="F762" s="1">
        <v>29201</v>
      </c>
      <c r="G762" s="1" t="s">
        <v>85</v>
      </c>
      <c r="H762" s="1" t="s">
        <v>123</v>
      </c>
      <c r="I762" s="1" t="s">
        <v>0</v>
      </c>
      <c r="J762" s="1">
        <v>10</v>
      </c>
      <c r="K762" s="1">
        <f>J762*(IF(I762=ProdFam[[#Headers],[Test]],(VLOOKUP(Data[[#This Row],[Product Family]],ProdFam[],3,FALSE)),(VLOOKUP(Data[[#This Row],[Product Family]],ProdFam[],2,FALSE))))</f>
        <v>900</v>
      </c>
      <c r="L762" s="1">
        <v>210</v>
      </c>
      <c r="M762" s="1">
        <v>10</v>
      </c>
      <c r="N762" s="7">
        <f>IFERROR(Data[[#This Row],[Actual Time]]/Data[[#This Row],[QTY Complete]],"")</f>
        <v>21</v>
      </c>
      <c r="O762" s="7">
        <f>IF(I762=ProdFam[[#Headers],[Test]],(VLOOKUP(Data[[#This Row],[Product Family]],ProdFam[],3,FALSE)),(VLOOKUP(Data[[#This Row],[Product Family]],ProdFam[],2,FALSE)))</f>
        <v>90</v>
      </c>
    </row>
    <row r="763" spans="2:15" x14ac:dyDescent="0.25">
      <c r="B763" s="1">
        <f>WEEKNUM(Data[[#This Row],[Date]],1)</f>
        <v>46</v>
      </c>
      <c r="C763" s="15">
        <f>YEAR(Data[[#This Row],[Date]])</f>
        <v>2019</v>
      </c>
      <c r="D763" s="5">
        <v>43784</v>
      </c>
      <c r="E763" s="1" t="s">
        <v>122</v>
      </c>
      <c r="F763" s="1">
        <v>29197</v>
      </c>
      <c r="G763" s="1" t="s">
        <v>159</v>
      </c>
      <c r="H763" s="1" t="s">
        <v>112</v>
      </c>
      <c r="I763" s="1" t="s">
        <v>0</v>
      </c>
      <c r="J763" s="1">
        <v>12</v>
      </c>
      <c r="K763" s="1">
        <f>J763*(IF(I763=ProdFam[[#Headers],[Test]],(VLOOKUP(Data[[#This Row],[Product Family]],ProdFam[],3,FALSE)),(VLOOKUP(Data[[#This Row],[Product Family]],ProdFam[],2,FALSE))))</f>
        <v>120</v>
      </c>
      <c r="L763" s="1">
        <v>60</v>
      </c>
      <c r="M763" s="1">
        <v>12</v>
      </c>
      <c r="N763" s="7">
        <f>IFERROR(Data[[#This Row],[Actual Time]]/Data[[#This Row],[QTY Complete]],"")</f>
        <v>5</v>
      </c>
      <c r="O763" s="7">
        <f>IF(I763=ProdFam[[#Headers],[Test]],(VLOOKUP(Data[[#This Row],[Product Family]],ProdFam[],3,FALSE)),(VLOOKUP(Data[[#This Row],[Product Family]],ProdFam[],2,FALSE)))</f>
        <v>10</v>
      </c>
    </row>
    <row r="764" spans="2:15" x14ac:dyDescent="0.25">
      <c r="B764" s="1">
        <f>WEEKNUM(Data[[#This Row],[Date]],1)</f>
        <v>46</v>
      </c>
      <c r="C764" s="15">
        <f>YEAR(Data[[#This Row],[Date]])</f>
        <v>2019</v>
      </c>
      <c r="D764" s="5">
        <v>43784</v>
      </c>
      <c r="E764" s="1" t="s">
        <v>122</v>
      </c>
      <c r="F764" s="1">
        <v>29281</v>
      </c>
      <c r="G764" s="1" t="s">
        <v>2</v>
      </c>
      <c r="H764" s="1" t="s">
        <v>112</v>
      </c>
      <c r="I764" s="1" t="s">
        <v>0</v>
      </c>
      <c r="J764" s="1">
        <v>9</v>
      </c>
      <c r="K764" s="1">
        <f>J764*(IF(I764=ProdFam[[#Headers],[Test]],(VLOOKUP(Data[[#This Row],[Product Family]],ProdFam[],3,FALSE)),(VLOOKUP(Data[[#This Row],[Product Family]],ProdFam[],2,FALSE))))</f>
        <v>90</v>
      </c>
      <c r="L764" s="1">
        <v>30</v>
      </c>
      <c r="M764" s="1">
        <v>9</v>
      </c>
      <c r="O764" s="7">
        <f>IF(I764=ProdFam[[#Headers],[Test]],(VLOOKUP(Data[[#This Row],[Product Family]],ProdFam[],3,FALSE)),(VLOOKUP(Data[[#This Row],[Product Family]],ProdFam[],2,FALSE)))</f>
        <v>10</v>
      </c>
    </row>
    <row r="765" spans="2:15" x14ac:dyDescent="0.25">
      <c r="B765" s="1">
        <f>WEEKNUM(Data[[#This Row],[Date]],1)</f>
        <v>46</v>
      </c>
      <c r="C765" s="15">
        <f>YEAR(Data[[#This Row],[Date]])</f>
        <v>2019</v>
      </c>
      <c r="D765" s="5">
        <v>43784</v>
      </c>
      <c r="E765" s="1" t="s">
        <v>122</v>
      </c>
      <c r="F765" s="1">
        <v>29247</v>
      </c>
      <c r="G765" s="1" t="s">
        <v>84</v>
      </c>
      <c r="H765" s="1" t="s">
        <v>112</v>
      </c>
      <c r="I765" s="1" t="s">
        <v>0</v>
      </c>
      <c r="J765" s="1">
        <v>6</v>
      </c>
      <c r="K765" s="1">
        <f>J765*(IF(I765=ProdFam[[#Headers],[Test]],(VLOOKUP(Data[[#This Row],[Product Family]],ProdFam[],3,FALSE)),(VLOOKUP(Data[[#This Row],[Product Family]],ProdFam[],2,FALSE))))</f>
        <v>60</v>
      </c>
      <c r="L765" s="1">
        <v>30</v>
      </c>
      <c r="M765" s="1">
        <v>6</v>
      </c>
      <c r="N765" s="7">
        <f>IFERROR(Data[[#This Row],[Actual Time]]/Data[[#This Row],[QTY Complete]],"")</f>
        <v>5</v>
      </c>
      <c r="O765" s="7">
        <f>IF(I765=ProdFam[[#Headers],[Test]],(VLOOKUP(Data[[#This Row],[Product Family]],ProdFam[],3,FALSE)),(VLOOKUP(Data[[#This Row],[Product Family]],ProdFam[],2,FALSE)))</f>
        <v>10</v>
      </c>
    </row>
    <row r="766" spans="2:15" x14ac:dyDescent="0.25">
      <c r="B766" s="1">
        <f>WEEKNUM(Data[[#This Row],[Date]],1)</f>
        <v>46</v>
      </c>
      <c r="C766" s="15">
        <f>YEAR(Data[[#This Row],[Date]])</f>
        <v>2019</v>
      </c>
      <c r="D766" s="5">
        <v>43784</v>
      </c>
      <c r="E766" s="1" t="s">
        <v>122</v>
      </c>
      <c r="F766" s="1">
        <v>29278</v>
      </c>
      <c r="G766" s="1" t="s">
        <v>84</v>
      </c>
      <c r="H766" s="1" t="s">
        <v>112</v>
      </c>
      <c r="I766" s="1" t="s">
        <v>0</v>
      </c>
      <c r="J766" s="1">
        <v>3</v>
      </c>
      <c r="K766" s="1">
        <f>J766*(IF(I766=ProdFam[[#Headers],[Test]],(VLOOKUP(Data[[#This Row],[Product Family]],ProdFam[],3,FALSE)),(VLOOKUP(Data[[#This Row],[Product Family]],ProdFam[],2,FALSE))))</f>
        <v>30</v>
      </c>
      <c r="L766" s="1">
        <v>30</v>
      </c>
      <c r="M766" s="1">
        <v>3</v>
      </c>
      <c r="N766" s="7">
        <f>IFERROR(Data[[#This Row],[Actual Time]]/Data[[#This Row],[QTY Complete]],"")</f>
        <v>10</v>
      </c>
      <c r="O766" s="7">
        <f>IF(I766=ProdFam[[#Headers],[Test]],(VLOOKUP(Data[[#This Row],[Product Family]],ProdFam[],3,FALSE)),(VLOOKUP(Data[[#This Row],[Product Family]],ProdFam[],2,FALSE)))</f>
        <v>10</v>
      </c>
    </row>
    <row r="767" spans="2:15" x14ac:dyDescent="0.25">
      <c r="B767" s="1">
        <f>WEEKNUM(Data[[#This Row],[Date]],1)</f>
        <v>46</v>
      </c>
      <c r="C767" s="15">
        <f>YEAR(Data[[#This Row],[Date]])</f>
        <v>2019</v>
      </c>
      <c r="D767" s="5">
        <v>43784</v>
      </c>
      <c r="E767" s="1" t="s">
        <v>122</v>
      </c>
      <c r="F767" s="1">
        <v>29282</v>
      </c>
      <c r="G767" s="1" t="s">
        <v>8</v>
      </c>
      <c r="H767" s="1" t="s">
        <v>112</v>
      </c>
      <c r="I767" s="1" t="s">
        <v>0</v>
      </c>
      <c r="J767" s="1">
        <v>21</v>
      </c>
      <c r="K767" s="1">
        <f>J767*(IF(I767=ProdFam[[#Headers],[Test]],(VLOOKUP(Data[[#This Row],[Product Family]],ProdFam[],3,FALSE)),(VLOOKUP(Data[[#This Row],[Product Family]],ProdFam[],2,FALSE))))</f>
        <v>210</v>
      </c>
      <c r="L767" s="1">
        <v>150</v>
      </c>
      <c r="M767" s="1">
        <v>21</v>
      </c>
      <c r="N767" s="7">
        <f>IFERROR(Data[[#This Row],[Actual Time]]/Data[[#This Row],[QTY Complete]],"")</f>
        <v>7.1428571428571432</v>
      </c>
      <c r="O767" s="7">
        <f>IF(I767=ProdFam[[#Headers],[Test]],(VLOOKUP(Data[[#This Row],[Product Family]],ProdFam[],3,FALSE)),(VLOOKUP(Data[[#This Row],[Product Family]],ProdFam[],2,FALSE)))</f>
        <v>10</v>
      </c>
    </row>
    <row r="768" spans="2:15" x14ac:dyDescent="0.25">
      <c r="B768" s="1">
        <f>WEEKNUM(Data[[#This Row],[Date]],1)</f>
        <v>46</v>
      </c>
      <c r="C768" s="15">
        <f>YEAR(Data[[#This Row],[Date]])</f>
        <v>2019</v>
      </c>
      <c r="D768" s="5">
        <v>43784</v>
      </c>
      <c r="E768" s="1" t="s">
        <v>122</v>
      </c>
      <c r="F768" s="1">
        <v>29160</v>
      </c>
      <c r="G768" s="1" t="s">
        <v>11</v>
      </c>
      <c r="H768" s="1" t="s">
        <v>113</v>
      </c>
      <c r="I768" s="1" t="s">
        <v>0</v>
      </c>
      <c r="J768" s="1">
        <v>10</v>
      </c>
      <c r="K768" s="1">
        <f>J768*(IF(I768=ProdFam[[#Headers],[Test]],(VLOOKUP(Data[[#This Row],[Product Family]],ProdFam[],3,FALSE)),(VLOOKUP(Data[[#This Row],[Product Family]],ProdFam[],2,FALSE))))</f>
        <v>470</v>
      </c>
      <c r="L768" s="1">
        <v>60</v>
      </c>
      <c r="M768" s="1">
        <v>0</v>
      </c>
      <c r="N768" s="7" t="str">
        <f>IFERROR(Data[[#This Row],[Actual Time]]/Data[[#This Row],[QTY Complete]],"")</f>
        <v/>
      </c>
      <c r="O768" s="7">
        <f>IF(I768=ProdFam[[#Headers],[Test]],(VLOOKUP(Data[[#This Row],[Product Family]],ProdFam[],3,FALSE)),(VLOOKUP(Data[[#This Row],[Product Family]],ProdFam[],2,FALSE)))</f>
        <v>47</v>
      </c>
    </row>
    <row r="769" spans="2:15" x14ac:dyDescent="0.25">
      <c r="B769" s="1">
        <f>WEEKNUM(Data[[#This Row],[Date]],1)</f>
        <v>46</v>
      </c>
      <c r="C769" s="15">
        <f>YEAR(Data[[#This Row],[Date]])</f>
        <v>2019</v>
      </c>
      <c r="D769" s="5">
        <v>43785</v>
      </c>
      <c r="E769" s="1" t="s">
        <v>122</v>
      </c>
      <c r="F769" s="1">
        <v>29160</v>
      </c>
      <c r="G769" s="1" t="s">
        <v>11</v>
      </c>
      <c r="H769" s="1" t="s">
        <v>113</v>
      </c>
      <c r="I769" s="1" t="s">
        <v>0</v>
      </c>
      <c r="J769" s="1">
        <v>10</v>
      </c>
      <c r="K769" s="1">
        <f>J769*(IF(I769=ProdFam[[#Headers],[Test]],(VLOOKUP(Data[[#This Row],[Product Family]],ProdFam[],3,FALSE)),(VLOOKUP(Data[[#This Row],[Product Family]],ProdFam[],2,FALSE))))</f>
        <v>470</v>
      </c>
      <c r="L769" s="1">
        <v>150</v>
      </c>
      <c r="M769" s="1">
        <v>10</v>
      </c>
      <c r="N769" s="7">
        <f>IFERROR(Data[[#This Row],[Actual Time]]/Data[[#This Row],[QTY Complete]],"")</f>
        <v>15</v>
      </c>
      <c r="O769" s="7">
        <f>IF(I769=ProdFam[[#Headers],[Test]],(VLOOKUP(Data[[#This Row],[Product Family]],ProdFam[],3,FALSE)),(VLOOKUP(Data[[#This Row],[Product Family]],ProdFam[],2,FALSE)))</f>
        <v>47</v>
      </c>
    </row>
    <row r="770" spans="2:15" x14ac:dyDescent="0.25">
      <c r="B770" s="1">
        <f>WEEKNUM(Data[[#This Row],[Date]],1)</f>
        <v>46</v>
      </c>
      <c r="C770" s="15">
        <f>YEAR(Data[[#This Row],[Date]])</f>
        <v>2019</v>
      </c>
      <c r="D770" s="5">
        <v>43785</v>
      </c>
      <c r="E770" s="1" t="s">
        <v>122</v>
      </c>
      <c r="F770" s="1">
        <v>29250</v>
      </c>
      <c r="G770" s="1" t="s">
        <v>16</v>
      </c>
      <c r="H770" s="1" t="s">
        <v>113</v>
      </c>
      <c r="I770" s="1" t="s">
        <v>0</v>
      </c>
      <c r="J770" s="1">
        <v>10</v>
      </c>
      <c r="K770" s="1">
        <f>J770*(IF(I770=ProdFam[[#Headers],[Test]],(VLOOKUP(Data[[#This Row],[Product Family]],ProdFam[],3,FALSE)),(VLOOKUP(Data[[#This Row],[Product Family]],ProdFam[],2,FALSE))))</f>
        <v>470</v>
      </c>
      <c r="L770" s="1">
        <v>150</v>
      </c>
      <c r="M770" s="1">
        <v>0</v>
      </c>
      <c r="N770" s="7" t="str">
        <f>IFERROR(Data[[#This Row],[Actual Time]]/Data[[#This Row],[QTY Complete]],"")</f>
        <v/>
      </c>
      <c r="O770" s="7">
        <f>IF(I770=ProdFam[[#Headers],[Test]],(VLOOKUP(Data[[#This Row],[Product Family]],ProdFam[],3,FALSE)),(VLOOKUP(Data[[#This Row],[Product Family]],ProdFam[],2,FALSE)))</f>
        <v>47</v>
      </c>
    </row>
    <row r="771" spans="2:15" x14ac:dyDescent="0.25">
      <c r="B771" s="1">
        <f>WEEKNUM(Data[[#This Row],[Date]],1)</f>
        <v>46</v>
      </c>
      <c r="C771" s="15">
        <f>YEAR(Data[[#This Row],[Date]])</f>
        <v>2019</v>
      </c>
      <c r="D771" s="5">
        <v>43785</v>
      </c>
      <c r="E771" s="1" t="s">
        <v>131</v>
      </c>
      <c r="F771" s="1">
        <v>29323</v>
      </c>
      <c r="G771" s="1" t="s">
        <v>25</v>
      </c>
      <c r="H771" s="1" t="s">
        <v>113</v>
      </c>
      <c r="I771" s="1" t="s">
        <v>0</v>
      </c>
      <c r="J771" s="1">
        <v>10</v>
      </c>
      <c r="K771" s="1">
        <f>J771*(IF(I771=ProdFam[[#Headers],[Test]],(VLOOKUP(Data[[#This Row],[Product Family]],ProdFam[],3,FALSE)),(VLOOKUP(Data[[#This Row],[Product Family]],ProdFam[],2,FALSE))))</f>
        <v>470</v>
      </c>
      <c r="L771" s="1">
        <v>240</v>
      </c>
      <c r="M771" s="1">
        <v>10</v>
      </c>
      <c r="N771" s="7">
        <f>IFERROR(Data[[#This Row],[Actual Time]]/Data[[#This Row],[QTY Complete]],"")</f>
        <v>24</v>
      </c>
      <c r="O771" s="7">
        <f>IF(I771=ProdFam[[#Headers],[Test]],(VLOOKUP(Data[[#This Row],[Product Family]],ProdFam[],3,FALSE)),(VLOOKUP(Data[[#This Row],[Product Family]],ProdFam[],2,FALSE)))</f>
        <v>47</v>
      </c>
    </row>
    <row r="772" spans="2:15" x14ac:dyDescent="0.25">
      <c r="B772" s="1">
        <f>WEEKNUM(Data[[#This Row],[Date]],1)</f>
        <v>46</v>
      </c>
      <c r="C772" s="15">
        <f>YEAR(Data[[#This Row],[Date]])</f>
        <v>2019</v>
      </c>
      <c r="D772" s="5">
        <v>43784</v>
      </c>
      <c r="E772" s="1" t="s">
        <v>131</v>
      </c>
      <c r="F772" s="1">
        <v>29251</v>
      </c>
      <c r="G772" s="1" t="s">
        <v>25</v>
      </c>
      <c r="H772" s="1" t="s">
        <v>113</v>
      </c>
      <c r="I772" s="1" t="s">
        <v>0</v>
      </c>
      <c r="J772" s="1">
        <v>10</v>
      </c>
      <c r="K772" s="1">
        <f>J772*(IF(I772=ProdFam[[#Headers],[Test]],(VLOOKUP(Data[[#This Row],[Product Family]],ProdFam[],3,FALSE)),(VLOOKUP(Data[[#This Row],[Product Family]],ProdFam[],2,FALSE))))</f>
        <v>470</v>
      </c>
      <c r="L772" s="1">
        <v>180</v>
      </c>
      <c r="M772" s="1">
        <v>10</v>
      </c>
      <c r="N772" s="7">
        <f>IFERROR(Data[[#This Row],[Actual Time]]/Data[[#This Row],[QTY Complete]],"")</f>
        <v>18</v>
      </c>
      <c r="O772" s="7">
        <f>IF(I772=ProdFam[[#Headers],[Test]],(VLOOKUP(Data[[#This Row],[Product Family]],ProdFam[],3,FALSE)),(VLOOKUP(Data[[#This Row],[Product Family]],ProdFam[],2,FALSE)))</f>
        <v>47</v>
      </c>
    </row>
    <row r="773" spans="2:15" x14ac:dyDescent="0.25">
      <c r="B773" s="1">
        <f>WEEKNUM(Data[[#This Row],[Date]],1)</f>
        <v>46</v>
      </c>
      <c r="C773" s="15">
        <f>YEAR(Data[[#This Row],[Date]])</f>
        <v>2019</v>
      </c>
      <c r="D773" s="5">
        <v>43784</v>
      </c>
      <c r="E773" s="1" t="s">
        <v>131</v>
      </c>
      <c r="F773" s="1">
        <v>29323</v>
      </c>
      <c r="G773" s="1" t="s">
        <v>25</v>
      </c>
      <c r="H773" s="1" t="s">
        <v>113</v>
      </c>
      <c r="I773" s="1" t="s">
        <v>0</v>
      </c>
      <c r="J773" s="1">
        <v>10</v>
      </c>
      <c r="K773" s="1">
        <f>J773*(IF(I773=ProdFam[[#Headers],[Test]],(VLOOKUP(Data[[#This Row],[Product Family]],ProdFam[],3,FALSE)),(VLOOKUP(Data[[#This Row],[Product Family]],ProdFam[],2,FALSE))))</f>
        <v>470</v>
      </c>
      <c r="L773" s="1">
        <v>255</v>
      </c>
      <c r="M773" s="1">
        <v>0</v>
      </c>
      <c r="N773" s="7" t="str">
        <f>IFERROR(Data[[#This Row],[Actual Time]]/Data[[#This Row],[QTY Complete]],"")</f>
        <v/>
      </c>
      <c r="O773" s="7">
        <f>IF(I773=ProdFam[[#Headers],[Test]],(VLOOKUP(Data[[#This Row],[Product Family]],ProdFam[],3,FALSE)),(VLOOKUP(Data[[#This Row],[Product Family]],ProdFam[],2,FALSE)))</f>
        <v>47</v>
      </c>
    </row>
    <row r="774" spans="2:15" x14ac:dyDescent="0.25">
      <c r="B774" s="1">
        <f>WEEKNUM(Data[[#This Row],[Date]],1)</f>
        <v>46</v>
      </c>
      <c r="C774" s="15">
        <f>YEAR(Data[[#This Row],[Date]])</f>
        <v>2019</v>
      </c>
      <c r="D774" s="5">
        <v>43785</v>
      </c>
      <c r="E774" s="1" t="s">
        <v>118</v>
      </c>
      <c r="F774" s="1">
        <v>29253</v>
      </c>
      <c r="G774" s="1" t="s">
        <v>25</v>
      </c>
      <c r="H774" s="1" t="s">
        <v>113</v>
      </c>
      <c r="I774" s="1" t="s">
        <v>0</v>
      </c>
      <c r="J774" s="1">
        <v>10</v>
      </c>
      <c r="K774" s="1">
        <f>J774*(IF(I774=ProdFam[[#Headers],[Test]],(VLOOKUP(Data[[#This Row],[Product Family]],ProdFam[],3,FALSE)),(VLOOKUP(Data[[#This Row],[Product Family]],ProdFam[],2,FALSE))))</f>
        <v>470</v>
      </c>
      <c r="L774" s="1">
        <v>210</v>
      </c>
      <c r="M774" s="1">
        <v>10</v>
      </c>
      <c r="N774" s="7">
        <f>IFERROR(Data[[#This Row],[Actual Time]]/Data[[#This Row],[QTY Complete]],"")</f>
        <v>21</v>
      </c>
      <c r="O774" s="7">
        <f>IF(I774=ProdFam[[#Headers],[Test]],(VLOOKUP(Data[[#This Row],[Product Family]],ProdFam[],3,FALSE)),(VLOOKUP(Data[[#This Row],[Product Family]],ProdFam[],2,FALSE)))</f>
        <v>47</v>
      </c>
    </row>
    <row r="775" spans="2:15" x14ac:dyDescent="0.25">
      <c r="B775" s="1">
        <f>WEEKNUM(Data[[#This Row],[Date]],1)</f>
        <v>46</v>
      </c>
      <c r="C775" s="15">
        <f>YEAR(Data[[#This Row],[Date]])</f>
        <v>2019</v>
      </c>
      <c r="D775" s="5">
        <v>43784</v>
      </c>
      <c r="E775" s="1" t="s">
        <v>118</v>
      </c>
      <c r="F775" s="1">
        <v>28993</v>
      </c>
      <c r="G775" s="1" t="s">
        <v>59</v>
      </c>
      <c r="H775" s="1" t="s">
        <v>113</v>
      </c>
      <c r="I775" s="1" t="s">
        <v>0</v>
      </c>
      <c r="J775" s="1">
        <v>5</v>
      </c>
      <c r="K775" s="1">
        <f>J775*(IF(I775=ProdFam[[#Headers],[Test]],(VLOOKUP(Data[[#This Row],[Product Family]],ProdFam[],3,FALSE)),(VLOOKUP(Data[[#This Row],[Product Family]],ProdFam[],2,FALSE))))</f>
        <v>235</v>
      </c>
      <c r="L775" s="1">
        <v>30</v>
      </c>
      <c r="M775" s="1">
        <v>5</v>
      </c>
      <c r="N775" s="7">
        <f>IFERROR(Data[[#This Row],[Actual Time]]/Data[[#This Row],[QTY Complete]],"")</f>
        <v>6</v>
      </c>
      <c r="O775" s="7">
        <f>IF(I775=ProdFam[[#Headers],[Test]],(VLOOKUP(Data[[#This Row],[Product Family]],ProdFam[],3,FALSE)),(VLOOKUP(Data[[#This Row],[Product Family]],ProdFam[],2,FALSE)))</f>
        <v>47</v>
      </c>
    </row>
    <row r="776" spans="2:15" x14ac:dyDescent="0.25">
      <c r="B776" s="1">
        <f>WEEKNUM(Data[[#This Row],[Date]],1)</f>
        <v>46</v>
      </c>
      <c r="C776" s="15">
        <f>YEAR(Data[[#This Row],[Date]])</f>
        <v>2019</v>
      </c>
      <c r="D776" s="5">
        <v>43784</v>
      </c>
      <c r="E776" s="1" t="s">
        <v>118</v>
      </c>
      <c r="F776" s="1">
        <v>29167</v>
      </c>
      <c r="G776" s="1" t="s">
        <v>58</v>
      </c>
      <c r="H776" s="1" t="s">
        <v>112</v>
      </c>
      <c r="I776" s="1" t="s">
        <v>0</v>
      </c>
      <c r="J776" s="1">
        <v>21</v>
      </c>
      <c r="K776" s="1">
        <f>J776*(IF(I776=ProdFam[[#Headers],[Test]],(VLOOKUP(Data[[#This Row],[Product Family]],ProdFam[],3,FALSE)),(VLOOKUP(Data[[#This Row],[Product Family]],ProdFam[],2,FALSE))))</f>
        <v>210</v>
      </c>
      <c r="L776" s="1">
        <v>300</v>
      </c>
      <c r="M776" s="1">
        <v>21</v>
      </c>
      <c r="N776" s="7">
        <f>IFERROR(Data[[#This Row],[Actual Time]]/Data[[#This Row],[QTY Complete]],"")</f>
        <v>14.285714285714286</v>
      </c>
      <c r="O776" s="7">
        <f>IF(I776=ProdFam[[#Headers],[Test]],(VLOOKUP(Data[[#This Row],[Product Family]],ProdFam[],3,FALSE)),(VLOOKUP(Data[[#This Row],[Product Family]],ProdFam[],2,FALSE)))</f>
        <v>10</v>
      </c>
    </row>
    <row r="777" spans="2:15" x14ac:dyDescent="0.25">
      <c r="B777" s="1">
        <f>WEEKNUM(Data[[#This Row],[Date]],1)</f>
        <v>46</v>
      </c>
      <c r="C777" s="15">
        <f>YEAR(Data[[#This Row],[Date]])</f>
        <v>2019</v>
      </c>
      <c r="D777" s="5">
        <v>43784</v>
      </c>
      <c r="E777" s="1" t="s">
        <v>118</v>
      </c>
      <c r="F777" s="1">
        <v>29253</v>
      </c>
      <c r="G777" s="1" t="s">
        <v>25</v>
      </c>
      <c r="H777" s="1" t="s">
        <v>113</v>
      </c>
      <c r="I777" s="1" t="s">
        <v>0</v>
      </c>
      <c r="J777" s="1">
        <v>10</v>
      </c>
      <c r="K777" s="1">
        <f>J777*(IF(I777=ProdFam[[#Headers],[Test]],(VLOOKUP(Data[[#This Row],[Product Family]],ProdFam[],3,FALSE)),(VLOOKUP(Data[[#This Row],[Product Family]],ProdFam[],2,FALSE))))</f>
        <v>470</v>
      </c>
      <c r="L777" s="1">
        <v>130</v>
      </c>
      <c r="M777" s="1">
        <v>0</v>
      </c>
      <c r="N777" s="7" t="str">
        <f>IFERROR(Data[[#This Row],[Actual Time]]/Data[[#This Row],[QTY Complete]],"")</f>
        <v/>
      </c>
      <c r="O777" s="7">
        <f>IF(I777=ProdFam[[#Headers],[Test]],(VLOOKUP(Data[[#This Row],[Product Family]],ProdFam[],3,FALSE)),(VLOOKUP(Data[[#This Row],[Product Family]],ProdFam[],2,FALSE)))</f>
        <v>47</v>
      </c>
    </row>
    <row r="778" spans="2:15" x14ac:dyDescent="0.25">
      <c r="B778" s="1">
        <v>1</v>
      </c>
      <c r="C778" s="15">
        <f>YEAR(Data[[#This Row],[Date]])</f>
        <v>2020</v>
      </c>
      <c r="D778" s="5">
        <v>43833</v>
      </c>
      <c r="E778" s="1" t="s">
        <v>128</v>
      </c>
      <c r="F778" s="28">
        <v>63046</v>
      </c>
      <c r="G778" s="28" t="s">
        <v>4</v>
      </c>
      <c r="H778" s="24" t="s">
        <v>162</v>
      </c>
      <c r="I778" s="24" t="s">
        <v>0</v>
      </c>
      <c r="J778" s="28">
        <v>2</v>
      </c>
      <c r="K778" s="24">
        <f>J778*(IF(I778=ProdFam[[#Headers],[Test]],(VLOOKUP(Data[[#This Row],[Product Family]],ProdFam[],3,FALSE)),(VLOOKUP(Data[[#This Row],[Product Family]],ProdFam[],2,FALSE))))</f>
        <v>20</v>
      </c>
      <c r="L778" s="24">
        <v>22</v>
      </c>
      <c r="M778" s="28">
        <v>2</v>
      </c>
      <c r="N778" s="7">
        <f>IFERROR(Data[[#This Row],[Actual Time]]/Data[[#This Row],[QTY Complete]],"")</f>
        <v>11</v>
      </c>
      <c r="O778" s="7">
        <f>IF(I778=ProdFam[[#Headers],[Test]],(VLOOKUP(Data[[#This Row],[Product Family]],ProdFam[],3,FALSE)),(VLOOKUP(Data[[#This Row],[Product Family]],ProdFam[],2,FALSE)))</f>
        <v>10</v>
      </c>
    </row>
    <row r="779" spans="2:15" x14ac:dyDescent="0.25">
      <c r="B779" s="1">
        <v>1</v>
      </c>
      <c r="C779" s="15">
        <f>YEAR(Data[[#This Row],[Date]])</f>
        <v>2020</v>
      </c>
      <c r="D779" s="5">
        <v>43833</v>
      </c>
      <c r="E779" s="1" t="s">
        <v>128</v>
      </c>
      <c r="F779" s="28">
        <v>63045</v>
      </c>
      <c r="G779" s="28" t="s">
        <v>29</v>
      </c>
      <c r="H779" s="24" t="s">
        <v>162</v>
      </c>
      <c r="I779" s="24" t="s">
        <v>0</v>
      </c>
      <c r="J779" s="28">
        <v>3</v>
      </c>
      <c r="K779" s="24">
        <f>J779*(IF(I779=ProdFam[[#Headers],[Test]],(VLOOKUP(Data[[#This Row],[Product Family]],ProdFam[],3,FALSE)),(VLOOKUP(Data[[#This Row],[Product Family]],ProdFam[],2,FALSE))))</f>
        <v>30</v>
      </c>
      <c r="L779" s="24">
        <v>51</v>
      </c>
      <c r="M779" s="28">
        <v>3</v>
      </c>
      <c r="N779" s="7">
        <f>IFERROR(Data[[#This Row],[Actual Time]]/Data[[#This Row],[QTY Complete]],"")</f>
        <v>17</v>
      </c>
      <c r="O779" s="7">
        <f>IF(I779=ProdFam[[#Headers],[Test]],(VLOOKUP(Data[[#This Row],[Product Family]],ProdFam[],3,FALSE)),(VLOOKUP(Data[[#This Row],[Product Family]],ProdFam[],2,FALSE)))</f>
        <v>10</v>
      </c>
    </row>
    <row r="780" spans="2:15" x14ac:dyDescent="0.25">
      <c r="B780" s="1">
        <v>1</v>
      </c>
      <c r="C780" s="15">
        <f>YEAR(Data[[#This Row],[Date]])</f>
        <v>2020</v>
      </c>
      <c r="D780" s="5">
        <v>43833</v>
      </c>
      <c r="E780" s="1" t="s">
        <v>128</v>
      </c>
      <c r="F780" s="28">
        <v>63799</v>
      </c>
      <c r="G780" s="28" t="s">
        <v>50</v>
      </c>
      <c r="H780" s="24" t="s">
        <v>162</v>
      </c>
      <c r="I780" s="24" t="s">
        <v>0</v>
      </c>
      <c r="J780" s="28">
        <v>2</v>
      </c>
      <c r="K780" s="24">
        <f>J780*(IF(I780=ProdFam[[#Headers],[Test]],(VLOOKUP(Data[[#This Row],[Product Family]],ProdFam[],3,FALSE)),(VLOOKUP(Data[[#This Row],[Product Family]],ProdFam[],2,FALSE))))</f>
        <v>20</v>
      </c>
      <c r="L780" s="24">
        <v>20</v>
      </c>
      <c r="M780" s="28">
        <v>2</v>
      </c>
      <c r="N780" s="7">
        <f>IFERROR(Data[[#This Row],[Actual Time]]/Data[[#This Row],[QTY Complete]],"")</f>
        <v>10</v>
      </c>
      <c r="O780" s="7">
        <f>IF(I780=ProdFam[[#Headers],[Test]],(VLOOKUP(Data[[#This Row],[Product Family]],ProdFam[],3,FALSE)),(VLOOKUP(Data[[#This Row],[Product Family]],ProdFam[],2,FALSE)))</f>
        <v>10</v>
      </c>
    </row>
    <row r="781" spans="2:15" x14ac:dyDescent="0.25">
      <c r="B781" s="1">
        <v>1</v>
      </c>
      <c r="C781" s="15">
        <f>YEAR(Data[[#This Row],[Date]])</f>
        <v>2020</v>
      </c>
      <c r="D781" s="5">
        <v>43832</v>
      </c>
      <c r="E781" s="1" t="s">
        <v>118</v>
      </c>
      <c r="F781" s="28">
        <v>30071</v>
      </c>
      <c r="G781" s="28" t="s">
        <v>64</v>
      </c>
      <c r="H781" s="24" t="s">
        <v>112</v>
      </c>
      <c r="I781" s="24" t="s">
        <v>0</v>
      </c>
      <c r="J781" s="28">
        <v>12</v>
      </c>
      <c r="K781" s="24">
        <f>J781*(IF(I781=ProdFam[[#Headers],[Test]],(VLOOKUP(Data[[#This Row],[Product Family]],ProdFam[],3,FALSE)),(VLOOKUP(Data[[#This Row],[Product Family]],ProdFam[],2,FALSE))))</f>
        <v>120</v>
      </c>
      <c r="L781" s="24">
        <v>152</v>
      </c>
      <c r="M781" s="28">
        <v>12</v>
      </c>
      <c r="N781" s="7">
        <f>IFERROR(Data[[#This Row],[Actual Time]]/Data[[#This Row],[QTY Complete]],"")</f>
        <v>12.666666666666666</v>
      </c>
      <c r="O781" s="7">
        <f>IF(I781=ProdFam[[#Headers],[Test]],(VLOOKUP(Data[[#This Row],[Product Family]],ProdFam[],3,FALSE)),(VLOOKUP(Data[[#This Row],[Product Family]],ProdFam[],2,FALSE)))</f>
        <v>10</v>
      </c>
    </row>
    <row r="782" spans="2:15" x14ac:dyDescent="0.25">
      <c r="B782" s="1">
        <v>1</v>
      </c>
      <c r="C782" s="15">
        <f>YEAR(Data[[#This Row],[Date]])</f>
        <v>2020</v>
      </c>
      <c r="D782" s="5">
        <v>43832</v>
      </c>
      <c r="E782" s="1" t="s">
        <v>118</v>
      </c>
      <c r="F782" s="28">
        <v>30073</v>
      </c>
      <c r="G782" s="28" t="s">
        <v>58</v>
      </c>
      <c r="H782" s="24" t="s">
        <v>112</v>
      </c>
      <c r="I782" s="24" t="s">
        <v>0</v>
      </c>
      <c r="J782" s="28">
        <v>12</v>
      </c>
      <c r="K782" s="24">
        <f>J782*(IF(I782=ProdFam[[#Headers],[Test]],(VLOOKUP(Data[[#This Row],[Product Family]],ProdFam[],3,FALSE)),(VLOOKUP(Data[[#This Row],[Product Family]],ProdFam[],2,FALSE))))</f>
        <v>120</v>
      </c>
      <c r="L782" s="24">
        <v>207</v>
      </c>
      <c r="M782" s="28">
        <v>12</v>
      </c>
      <c r="N782" s="7">
        <f>IFERROR(Data[[#This Row],[Actual Time]]/Data[[#This Row],[QTY Complete]],"")</f>
        <v>17.25</v>
      </c>
      <c r="O782" s="7">
        <f>IF(I782=ProdFam[[#Headers],[Test]],(VLOOKUP(Data[[#This Row],[Product Family]],ProdFam[],3,FALSE)),(VLOOKUP(Data[[#This Row],[Product Family]],ProdFam[],2,FALSE)))</f>
        <v>10</v>
      </c>
    </row>
    <row r="783" spans="2:15" x14ac:dyDescent="0.25">
      <c r="B783" s="1">
        <v>1</v>
      </c>
      <c r="C783" s="15">
        <f>YEAR(Data[[#This Row],[Date]])</f>
        <v>2020</v>
      </c>
      <c r="D783" s="5">
        <v>43832</v>
      </c>
      <c r="E783" s="1" t="s">
        <v>118</v>
      </c>
      <c r="F783" s="28">
        <v>30067</v>
      </c>
      <c r="G783" s="28" t="s">
        <v>62</v>
      </c>
      <c r="H783" s="24" t="s">
        <v>112</v>
      </c>
      <c r="I783" s="24" t="s">
        <v>0</v>
      </c>
      <c r="J783" s="28">
        <v>24</v>
      </c>
      <c r="K783" s="24">
        <f>J783*(IF(I783=ProdFam[[#Headers],[Test]],(VLOOKUP(Data[[#This Row],[Product Family]],ProdFam[],3,FALSE)),(VLOOKUP(Data[[#This Row],[Product Family]],ProdFam[],2,FALSE))))</f>
        <v>240</v>
      </c>
      <c r="L783" s="24">
        <v>48</v>
      </c>
      <c r="M783" s="28">
        <v>24</v>
      </c>
      <c r="N783" s="7">
        <f>IFERROR(Data[[#This Row],[Actual Time]]/Data[[#This Row],[QTY Complete]],"")</f>
        <v>2</v>
      </c>
      <c r="O783" s="7">
        <f>IF(I783=ProdFam[[#Headers],[Test]],(VLOOKUP(Data[[#This Row],[Product Family]],ProdFam[],3,FALSE)),(VLOOKUP(Data[[#This Row],[Product Family]],ProdFam[],2,FALSE)))</f>
        <v>10</v>
      </c>
    </row>
    <row r="784" spans="2:15" x14ac:dyDescent="0.25">
      <c r="B784" s="1">
        <v>1</v>
      </c>
      <c r="C784" s="15">
        <f>YEAR(Data[[#This Row],[Date]])</f>
        <v>2020</v>
      </c>
      <c r="D784" s="5">
        <v>43832</v>
      </c>
      <c r="E784" s="1" t="s">
        <v>118</v>
      </c>
      <c r="F784" s="28">
        <v>30068</v>
      </c>
      <c r="G784" s="28" t="s">
        <v>61</v>
      </c>
      <c r="H784" s="24" t="s">
        <v>112</v>
      </c>
      <c r="I784" s="24" t="s">
        <v>0</v>
      </c>
      <c r="J784" s="28">
        <v>12</v>
      </c>
      <c r="K784" s="24">
        <f>J784*(IF(I784=ProdFam[[#Headers],[Test]],(VLOOKUP(Data[[#This Row],[Product Family]],ProdFam[],3,FALSE)),(VLOOKUP(Data[[#This Row],[Product Family]],ProdFam[],2,FALSE))))</f>
        <v>120</v>
      </c>
      <c r="L784" s="24">
        <v>69</v>
      </c>
      <c r="M784" s="28">
        <v>12</v>
      </c>
      <c r="N784" s="7">
        <f>IFERROR(Data[[#This Row],[Actual Time]]/Data[[#This Row],[QTY Complete]],"")</f>
        <v>5.75</v>
      </c>
      <c r="O784" s="7">
        <f>IF(I784=ProdFam[[#Headers],[Test]],(VLOOKUP(Data[[#This Row],[Product Family]],ProdFam[],3,FALSE)),(VLOOKUP(Data[[#This Row],[Product Family]],ProdFam[],2,FALSE)))</f>
        <v>10</v>
      </c>
    </row>
    <row r="785" spans="2:16" x14ac:dyDescent="0.25">
      <c r="B785" s="1">
        <v>1</v>
      </c>
      <c r="C785" s="15">
        <f>YEAR(Data[[#This Row],[Date]])</f>
        <v>2020</v>
      </c>
      <c r="D785" s="5">
        <v>43833</v>
      </c>
      <c r="E785" s="1" t="s">
        <v>118</v>
      </c>
      <c r="F785" s="1">
        <v>30069</v>
      </c>
      <c r="G785" s="1" t="s">
        <v>163</v>
      </c>
      <c r="H785" s="1" t="s">
        <v>112</v>
      </c>
      <c r="I785" s="1" t="s">
        <v>0</v>
      </c>
      <c r="J785" s="1">
        <v>6</v>
      </c>
      <c r="K785" s="1">
        <f>J785*(IF(I785=ProdFam[[#Headers],[Test]],(VLOOKUP(Data[[#This Row],[Product Family]],ProdFam[],3,FALSE)),(VLOOKUP(Data[[#This Row],[Product Family]],ProdFam[],2,FALSE))))</f>
        <v>60</v>
      </c>
      <c r="L785" s="1">
        <v>162</v>
      </c>
      <c r="M785" s="1">
        <v>6</v>
      </c>
      <c r="N785" s="7">
        <f>IFERROR(Data[[#This Row],[Actual Time]]/Data[[#This Row],[QTY Complete]],"")</f>
        <v>27</v>
      </c>
      <c r="O785" s="7">
        <f>IF(I785=ProdFam[[#Headers],[Test]],(VLOOKUP(Data[[#This Row],[Product Family]],ProdFam[],3,FALSE)),(VLOOKUP(Data[[#This Row],[Product Family]],ProdFam[],2,FALSE)))</f>
        <v>10</v>
      </c>
    </row>
    <row r="786" spans="2:16" x14ac:dyDescent="0.25">
      <c r="B786" s="1">
        <v>1</v>
      </c>
      <c r="C786" s="15">
        <f>YEAR(Data[[#This Row],[Date]])</f>
        <v>2020</v>
      </c>
      <c r="D786" s="5">
        <v>43833</v>
      </c>
      <c r="E786" s="1" t="s">
        <v>118</v>
      </c>
      <c r="F786" s="1">
        <v>30040</v>
      </c>
      <c r="G786" s="1" t="s">
        <v>35</v>
      </c>
      <c r="H786" s="1" t="s">
        <v>112</v>
      </c>
      <c r="I786" s="1" t="s">
        <v>0</v>
      </c>
      <c r="J786" s="1">
        <v>6</v>
      </c>
      <c r="K786" s="1">
        <f>J786*(IF(I786=ProdFam[[#Headers],[Test]],(VLOOKUP(Data[[#This Row],[Product Family]],ProdFam[],3,FALSE)),(VLOOKUP(Data[[#This Row],[Product Family]],ProdFam[],2,FALSE))))</f>
        <v>60</v>
      </c>
      <c r="L786" s="1">
        <v>52</v>
      </c>
      <c r="M786" s="1">
        <v>0</v>
      </c>
      <c r="N786" s="7" t="str">
        <f>IFERROR(Data[[#This Row],[Actual Time]]/Data[[#This Row],[QTY Complete]],"")</f>
        <v/>
      </c>
      <c r="O786" s="7">
        <f>IF(I786=ProdFam[[#Headers],[Test]],(VLOOKUP(Data[[#This Row],[Product Family]],ProdFam[],3,FALSE)),(VLOOKUP(Data[[#This Row],[Product Family]],ProdFam[],2,FALSE)))</f>
        <v>10</v>
      </c>
    </row>
    <row r="787" spans="2:16" x14ac:dyDescent="0.25">
      <c r="B787" s="1">
        <v>1</v>
      </c>
      <c r="C787" s="15">
        <f>YEAR(Data[[#This Row],[Date]])</f>
        <v>2020</v>
      </c>
      <c r="D787" s="5">
        <v>43832</v>
      </c>
      <c r="E787" s="1" t="s">
        <v>131</v>
      </c>
      <c r="F787" s="1">
        <v>29988</v>
      </c>
      <c r="G787" s="1" t="s">
        <v>25</v>
      </c>
      <c r="H787" s="1" t="s">
        <v>113</v>
      </c>
      <c r="I787" s="1" t="s">
        <v>0</v>
      </c>
      <c r="J787" s="1">
        <v>10</v>
      </c>
      <c r="K787" s="1">
        <f>J787*(IF(I787=ProdFam[[#Headers],[Test]],(VLOOKUP(Data[[#This Row],[Product Family]],ProdFam[],3,FALSE)),(VLOOKUP(Data[[#This Row],[Product Family]],ProdFam[],2,FALSE))))</f>
        <v>470</v>
      </c>
      <c r="L787" s="1">
        <v>470</v>
      </c>
      <c r="M787" s="1">
        <v>10</v>
      </c>
      <c r="N787" s="7">
        <f>IFERROR(Data[[#This Row],[Actual Time]]/Data[[#This Row],[QTY Complete]],"")</f>
        <v>47</v>
      </c>
      <c r="O787" s="7">
        <f>IF(I787=ProdFam[[#Headers],[Test]],(VLOOKUP(Data[[#This Row],[Product Family]],ProdFam[],3,FALSE)),(VLOOKUP(Data[[#This Row],[Product Family]],ProdFam[],2,FALSE)))</f>
        <v>47</v>
      </c>
    </row>
    <row r="788" spans="2:16" x14ac:dyDescent="0.25">
      <c r="B788" s="1">
        <f>WEEKNUM(Data[[#This Row],[Date]],1)</f>
        <v>1</v>
      </c>
      <c r="C788" s="15">
        <f>YEAR(Data[[#This Row],[Date]])</f>
        <v>2020</v>
      </c>
      <c r="D788" s="5">
        <v>43832</v>
      </c>
      <c r="E788" s="1" t="s">
        <v>131</v>
      </c>
      <c r="F788" s="28">
        <v>30074</v>
      </c>
      <c r="G788" s="28" t="s">
        <v>32</v>
      </c>
      <c r="H788" s="1" t="s">
        <v>112</v>
      </c>
      <c r="I788" s="1" t="s">
        <v>0</v>
      </c>
      <c r="J788" s="1">
        <v>9</v>
      </c>
      <c r="K788" s="1">
        <f>J788*(IF(I788=ProdFam[[#Headers],[Test]],(VLOOKUP(Data[[#This Row],[Product Family]],ProdFam[],3,FALSE)),(VLOOKUP(Data[[#This Row],[Product Family]],ProdFam[],2,FALSE))))</f>
        <v>90</v>
      </c>
      <c r="L788" s="1">
        <v>35</v>
      </c>
      <c r="M788" s="1">
        <v>9</v>
      </c>
      <c r="N788" s="7">
        <f>IFERROR(Data[[#This Row],[Actual Time]]/Data[[#This Row],[QTY Complete]],"")</f>
        <v>3.8888888888888888</v>
      </c>
      <c r="O788" s="7">
        <f>IF(I788=ProdFam[[#Headers],[Test]],(VLOOKUP(Data[[#This Row],[Product Family]],ProdFam[],3,FALSE)),(VLOOKUP(Data[[#This Row],[Product Family]],ProdFam[],2,FALSE)))</f>
        <v>10</v>
      </c>
    </row>
    <row r="789" spans="2:16" x14ac:dyDescent="0.25">
      <c r="B789" s="1">
        <f>WEEKNUM(Data[[#This Row],[Date]],1)</f>
        <v>1</v>
      </c>
      <c r="C789" s="15">
        <f>YEAR(Data[[#This Row],[Date]])</f>
        <v>2020</v>
      </c>
      <c r="D789" s="5">
        <v>43832</v>
      </c>
      <c r="E789" s="1" t="s">
        <v>131</v>
      </c>
      <c r="F789" s="28">
        <v>30076</v>
      </c>
      <c r="G789" s="28" t="s">
        <v>65</v>
      </c>
      <c r="H789" s="1" t="s">
        <v>112</v>
      </c>
      <c r="I789" s="1" t="s">
        <v>0</v>
      </c>
      <c r="J789" s="1">
        <v>9</v>
      </c>
      <c r="K789" s="1">
        <f>J789*(IF(I789=ProdFam[[#Headers],[Test]],(VLOOKUP(Data[[#This Row],[Product Family]],ProdFam[],3,FALSE)),(VLOOKUP(Data[[#This Row],[Product Family]],ProdFam[],2,FALSE))))</f>
        <v>90</v>
      </c>
      <c r="L789" s="1">
        <v>24</v>
      </c>
      <c r="M789" s="1">
        <v>9</v>
      </c>
      <c r="N789" s="7">
        <f>IFERROR(Data[[#This Row],[Actual Time]]/Data[[#This Row],[QTY Complete]],"")</f>
        <v>2.6666666666666665</v>
      </c>
      <c r="O789" s="7">
        <f>IF(I789=ProdFam[[#Headers],[Test]],(VLOOKUP(Data[[#This Row],[Product Family]],ProdFam[],3,FALSE)),(VLOOKUP(Data[[#This Row],[Product Family]],ProdFam[],2,FALSE)))</f>
        <v>10</v>
      </c>
    </row>
    <row r="790" spans="2:16" x14ac:dyDescent="0.25">
      <c r="B790" s="24">
        <f>WEEKNUM(Data[[#This Row],[Date]],1)</f>
        <v>1</v>
      </c>
      <c r="C790" s="25">
        <f>YEAR(Data[[#This Row],[Date]])</f>
        <v>2020</v>
      </c>
      <c r="D790" s="5">
        <v>43832</v>
      </c>
      <c r="E790" s="24" t="s">
        <v>131</v>
      </c>
      <c r="F790" s="28">
        <v>29983</v>
      </c>
      <c r="G790" s="28" t="s">
        <v>11</v>
      </c>
      <c r="H790" s="24" t="s">
        <v>113</v>
      </c>
      <c r="I790" s="24" t="s">
        <v>0</v>
      </c>
      <c r="J790" s="24">
        <v>2</v>
      </c>
      <c r="K790" s="24">
        <f>J790*(IF(I790=ProdFam[[#Headers],[Test]],(VLOOKUP(Data[[#This Row],[Product Family]],ProdFam[],3,FALSE)),(VLOOKUP(Data[[#This Row],[Product Family]],ProdFam[],2,FALSE))))</f>
        <v>94</v>
      </c>
      <c r="L790" s="24">
        <v>220</v>
      </c>
      <c r="M790" s="24">
        <v>2</v>
      </c>
      <c r="N790" s="27">
        <f>IFERROR(Data[[#This Row],[Actual Time]]/Data[[#This Row],[QTY Complete]],"")</f>
        <v>110</v>
      </c>
      <c r="O790" s="27">
        <f>IF(I790=ProdFam[[#Headers],[Test]],(VLOOKUP(Data[[#This Row],[Product Family]],ProdFam[],3,FALSE)),(VLOOKUP(Data[[#This Row],[Product Family]],ProdFam[],2,FALSE)))</f>
        <v>47</v>
      </c>
      <c r="P790" s="24"/>
    </row>
    <row r="791" spans="2:16" x14ac:dyDescent="0.25">
      <c r="B791" s="1">
        <v>1</v>
      </c>
      <c r="C791" s="15">
        <f>YEAR(Data[[#This Row],[Date]])</f>
        <v>2020</v>
      </c>
      <c r="D791" s="5">
        <v>43832</v>
      </c>
      <c r="E791" s="1" t="s">
        <v>119</v>
      </c>
      <c r="F791" s="28">
        <v>29945</v>
      </c>
      <c r="G791" s="28" t="s">
        <v>18</v>
      </c>
      <c r="H791" s="1" t="s">
        <v>115</v>
      </c>
      <c r="I791" s="1" t="s">
        <v>1</v>
      </c>
      <c r="J791" s="1">
        <v>16</v>
      </c>
      <c r="K791" s="1">
        <f>J791*(IF(I791=ProdFam[[#Headers],[Test]],(VLOOKUP(Data[[#This Row],[Product Family]],ProdFam[],3,FALSE)),(VLOOKUP(Data[[#This Row],[Product Family]],ProdFam[],2,FALSE))))</f>
        <v>384</v>
      </c>
      <c r="L791" s="1">
        <v>197</v>
      </c>
      <c r="M791" s="1">
        <v>16</v>
      </c>
      <c r="N791" s="7">
        <f>IFERROR(Data[[#This Row],[Actual Time]]/Data[[#This Row],[QTY Complete]],"")</f>
        <v>12.3125</v>
      </c>
      <c r="O791" s="7">
        <f>IF(I791=ProdFam[[#Headers],[Test]],(VLOOKUP(Data[[#This Row],[Product Family]],ProdFam[],3,FALSE)),(VLOOKUP(Data[[#This Row],[Product Family]],ProdFam[],2,FALSE)))</f>
        <v>24</v>
      </c>
    </row>
    <row r="792" spans="2:16" x14ac:dyDescent="0.25">
      <c r="B792" s="1">
        <v>1</v>
      </c>
      <c r="C792" s="15">
        <f>YEAR(Data[[#This Row],[Date]])</f>
        <v>2020</v>
      </c>
      <c r="D792" s="5">
        <v>43832</v>
      </c>
      <c r="E792" s="1" t="s">
        <v>119</v>
      </c>
      <c r="F792" s="28">
        <v>29941</v>
      </c>
      <c r="G792" s="28" t="s">
        <v>50</v>
      </c>
      <c r="H792" s="1" t="s">
        <v>113</v>
      </c>
      <c r="I792" s="1" t="s">
        <v>1</v>
      </c>
      <c r="J792" s="1">
        <v>10</v>
      </c>
      <c r="K792" s="1">
        <f>J792*(IF(I792=ProdFam[[#Headers],[Test]],(VLOOKUP(Data[[#This Row],[Product Family]],ProdFam[],3,FALSE)),(VLOOKUP(Data[[#This Row],[Product Family]],ProdFam[],2,FALSE))))</f>
        <v>320</v>
      </c>
      <c r="L792" s="1">
        <v>90</v>
      </c>
      <c r="M792" s="1">
        <v>0</v>
      </c>
      <c r="N792" s="7" t="str">
        <f>IFERROR(Data[[#This Row],[Actual Time]]/Data[[#This Row],[QTY Complete]],"")</f>
        <v/>
      </c>
      <c r="O792" s="7">
        <f>IF(I792=ProdFam[[#Headers],[Test]],(VLOOKUP(Data[[#This Row],[Product Family]],ProdFam[],3,FALSE)),(VLOOKUP(Data[[#This Row],[Product Family]],ProdFam[],2,FALSE)))</f>
        <v>32</v>
      </c>
    </row>
    <row r="793" spans="2:16" x14ac:dyDescent="0.25">
      <c r="B793" s="1">
        <v>1</v>
      </c>
      <c r="C793" s="15">
        <f>YEAR(Data[[#This Row],[Date]])</f>
        <v>2020</v>
      </c>
      <c r="D793" s="5">
        <v>43833</v>
      </c>
      <c r="E793" s="1" t="s">
        <v>119</v>
      </c>
      <c r="F793" s="28">
        <v>29943</v>
      </c>
      <c r="G793" s="28" t="s">
        <v>28</v>
      </c>
      <c r="H793" s="1" t="s">
        <v>113</v>
      </c>
      <c r="I793" s="1" t="s">
        <v>1</v>
      </c>
      <c r="J793" s="1">
        <v>5</v>
      </c>
      <c r="K793" s="1">
        <f>J793*(IF(I793=ProdFam[[#Headers],[Test]],(VLOOKUP(Data[[#This Row],[Product Family]],ProdFam[],3,FALSE)),(VLOOKUP(Data[[#This Row],[Product Family]],ProdFam[],2,FALSE))))</f>
        <v>160</v>
      </c>
      <c r="L793" s="1">
        <v>79</v>
      </c>
      <c r="M793" s="1">
        <v>5</v>
      </c>
      <c r="N793" s="7">
        <f>IFERROR(Data[[#This Row],[Actual Time]]/Data[[#This Row],[QTY Complete]],"")</f>
        <v>15.8</v>
      </c>
      <c r="O793" s="7">
        <f>IF(I793=ProdFam[[#Headers],[Test]],(VLOOKUP(Data[[#This Row],[Product Family]],ProdFam[],3,FALSE)),(VLOOKUP(Data[[#This Row],[Product Family]],ProdFam[],2,FALSE)))</f>
        <v>32</v>
      </c>
    </row>
    <row r="794" spans="2:16" x14ac:dyDescent="0.25">
      <c r="B794" s="1">
        <v>1</v>
      </c>
      <c r="C794" s="15">
        <f>YEAR(Data[[#This Row],[Date]])</f>
        <v>2020</v>
      </c>
      <c r="D794" s="5">
        <v>43833</v>
      </c>
      <c r="E794" s="1" t="s">
        <v>119</v>
      </c>
      <c r="F794" s="28">
        <v>29988</v>
      </c>
      <c r="G794" s="28" t="s">
        <v>25</v>
      </c>
      <c r="H794" s="1" t="s">
        <v>113</v>
      </c>
      <c r="I794" s="1" t="s">
        <v>1</v>
      </c>
      <c r="J794" s="1">
        <v>10</v>
      </c>
      <c r="K794" s="1">
        <f>J794*(IF(I794=ProdFam[[#Headers],[Test]],(VLOOKUP(Data[[#This Row],[Product Family]],ProdFam[],3,FALSE)),(VLOOKUP(Data[[#This Row],[Product Family]],ProdFam[],2,FALSE))))</f>
        <v>320</v>
      </c>
      <c r="L794" s="1">
        <v>189</v>
      </c>
      <c r="M794" s="1">
        <v>10</v>
      </c>
      <c r="N794" s="7">
        <f>IFERROR(Data[[#This Row],[Actual Time]]/Data[[#This Row],[QTY Complete]],"")</f>
        <v>18.899999999999999</v>
      </c>
      <c r="O794" s="7">
        <f>IF(I794=ProdFam[[#Headers],[Test]],(VLOOKUP(Data[[#This Row],[Product Family]],ProdFam[],3,FALSE)),(VLOOKUP(Data[[#This Row],[Product Family]],ProdFam[],2,FALSE)))</f>
        <v>32</v>
      </c>
    </row>
    <row r="795" spans="2:16" x14ac:dyDescent="0.25">
      <c r="B795" s="1">
        <v>2</v>
      </c>
      <c r="C795" s="15">
        <f>YEAR(Data[[#This Row],[Date]])</f>
        <v>2020</v>
      </c>
      <c r="D795" s="5">
        <v>43836</v>
      </c>
      <c r="E795" s="1" t="s">
        <v>128</v>
      </c>
      <c r="F795" s="28">
        <v>63093</v>
      </c>
      <c r="G795" s="28" t="s">
        <v>24</v>
      </c>
      <c r="H795" s="1" t="s">
        <v>162</v>
      </c>
      <c r="I795" s="1" t="s">
        <v>0</v>
      </c>
      <c r="J795" s="1">
        <v>1</v>
      </c>
      <c r="K795" s="1">
        <f>J795*(IF(I795=ProdFam[[#Headers],[Test]],(VLOOKUP(Data[[#This Row],[Product Family]],ProdFam[],3,FALSE)),(VLOOKUP(Data[[#This Row],[Product Family]],ProdFam[],2,FALSE))))</f>
        <v>10</v>
      </c>
      <c r="L795" s="1">
        <v>12</v>
      </c>
      <c r="M795" s="1">
        <v>1</v>
      </c>
      <c r="N795" s="7">
        <f>IFERROR(Data[[#This Row],[Actual Time]]/Data[[#This Row],[QTY Complete]],"")</f>
        <v>12</v>
      </c>
      <c r="O795" s="7">
        <f>IF(I795=ProdFam[[#Headers],[Test]],(VLOOKUP(Data[[#This Row],[Product Family]],ProdFam[],3,FALSE)),(VLOOKUP(Data[[#This Row],[Product Family]],ProdFam[],2,FALSE)))</f>
        <v>10</v>
      </c>
    </row>
    <row r="796" spans="2:16" x14ac:dyDescent="0.25">
      <c r="B796" s="1">
        <v>2</v>
      </c>
      <c r="C796" s="15">
        <f>YEAR(Data[[#This Row],[Date]])</f>
        <v>2020</v>
      </c>
      <c r="D796" s="5">
        <v>43836</v>
      </c>
      <c r="E796" s="1" t="s">
        <v>128</v>
      </c>
      <c r="F796" s="28">
        <v>64127</v>
      </c>
      <c r="G796" s="28" t="s">
        <v>16</v>
      </c>
      <c r="H796" s="1" t="s">
        <v>162</v>
      </c>
      <c r="I796" s="1" t="s">
        <v>0</v>
      </c>
      <c r="J796" s="1">
        <v>1</v>
      </c>
      <c r="K796" s="1">
        <f>J796*(IF(I796=ProdFam[[#Headers],[Test]],(VLOOKUP(Data[[#This Row],[Product Family]],ProdFam[],3,FALSE)),(VLOOKUP(Data[[#This Row],[Product Family]],ProdFam[],2,FALSE))))</f>
        <v>10</v>
      </c>
      <c r="L796" s="1">
        <v>26</v>
      </c>
      <c r="M796" s="1">
        <v>1</v>
      </c>
      <c r="N796" s="7">
        <f>IFERROR(Data[[#This Row],[Actual Time]]/Data[[#This Row],[QTY Complete]],"")</f>
        <v>26</v>
      </c>
      <c r="O796" s="7">
        <f>IF(I796=ProdFam[[#Headers],[Test]],(VLOOKUP(Data[[#This Row],[Product Family]],ProdFam[],3,FALSE)),(VLOOKUP(Data[[#This Row],[Product Family]],ProdFam[],2,FALSE)))</f>
        <v>10</v>
      </c>
    </row>
    <row r="797" spans="2:16" x14ac:dyDescent="0.25">
      <c r="B797" s="1">
        <v>2</v>
      </c>
      <c r="C797" s="15">
        <f>YEAR(Data[[#This Row],[Date]])</f>
        <v>2020</v>
      </c>
      <c r="D797" s="5">
        <v>43836</v>
      </c>
      <c r="E797" s="1" t="s">
        <v>128</v>
      </c>
      <c r="F797" s="28">
        <v>63199</v>
      </c>
      <c r="G797" s="28" t="s">
        <v>29</v>
      </c>
      <c r="H797" s="1" t="s">
        <v>162</v>
      </c>
      <c r="I797" s="1" t="s">
        <v>0</v>
      </c>
      <c r="J797" s="1">
        <v>1</v>
      </c>
      <c r="K797" s="1">
        <f>J797*(IF(I797=ProdFam[[#Headers],[Test]],(VLOOKUP(Data[[#This Row],[Product Family]],ProdFam[],3,FALSE)),(VLOOKUP(Data[[#This Row],[Product Family]],ProdFam[],2,FALSE))))</f>
        <v>10</v>
      </c>
      <c r="L797" s="1">
        <v>6</v>
      </c>
      <c r="M797" s="1">
        <v>1</v>
      </c>
      <c r="N797" s="7">
        <f>IFERROR(Data[[#This Row],[Actual Time]]/Data[[#This Row],[QTY Complete]],"")</f>
        <v>6</v>
      </c>
      <c r="O797" s="7">
        <f>IF(I797=ProdFam[[#Headers],[Test]],(VLOOKUP(Data[[#This Row],[Product Family]],ProdFam[],3,FALSE)),(VLOOKUP(Data[[#This Row],[Product Family]],ProdFam[],2,FALSE)))</f>
        <v>10</v>
      </c>
    </row>
    <row r="798" spans="2:16" x14ac:dyDescent="0.25">
      <c r="B798" s="1">
        <v>2</v>
      </c>
      <c r="C798" s="15">
        <f>YEAR(Data[[#This Row],[Date]])</f>
        <v>2020</v>
      </c>
      <c r="D798" s="5">
        <v>43836</v>
      </c>
      <c r="E798" s="1" t="s">
        <v>128</v>
      </c>
      <c r="F798" s="28">
        <v>30168</v>
      </c>
      <c r="G798" s="28" t="s">
        <v>88</v>
      </c>
      <c r="H798" s="1" t="s">
        <v>162</v>
      </c>
      <c r="I798" s="1" t="s">
        <v>0</v>
      </c>
      <c r="J798" s="1">
        <v>4</v>
      </c>
      <c r="K798" s="1">
        <f>J798*(IF(I798=ProdFam[[#Headers],[Test]],(VLOOKUP(Data[[#This Row],[Product Family]],ProdFam[],3,FALSE)),(VLOOKUP(Data[[#This Row],[Product Family]],ProdFam[],2,FALSE))))</f>
        <v>40</v>
      </c>
      <c r="L798" s="1">
        <v>42</v>
      </c>
      <c r="M798" s="1">
        <v>4</v>
      </c>
      <c r="N798" s="7">
        <f>IFERROR(Data[[#This Row],[Actual Time]]/Data[[#This Row],[QTY Complete]],"")</f>
        <v>10.5</v>
      </c>
      <c r="O798" s="7">
        <f>IF(I798=ProdFam[[#Headers],[Test]],(VLOOKUP(Data[[#This Row],[Product Family]],ProdFam[],3,FALSE)),(VLOOKUP(Data[[#This Row],[Product Family]],ProdFam[],2,FALSE)))</f>
        <v>10</v>
      </c>
    </row>
    <row r="799" spans="2:16" x14ac:dyDescent="0.25">
      <c r="B799" s="1">
        <v>2</v>
      </c>
      <c r="C799" s="15">
        <f>YEAR(Data[[#This Row],[Date]])</f>
        <v>2020</v>
      </c>
      <c r="D799" s="5">
        <v>43836</v>
      </c>
      <c r="E799" s="1" t="s">
        <v>128</v>
      </c>
      <c r="F799" s="28">
        <v>30160</v>
      </c>
      <c r="G799" s="28" t="s">
        <v>47</v>
      </c>
      <c r="H799" s="1" t="s">
        <v>162</v>
      </c>
      <c r="I799" s="1" t="s">
        <v>0</v>
      </c>
      <c r="J799" s="1">
        <v>6</v>
      </c>
      <c r="K799" s="1">
        <f>J799*(IF(I799=ProdFam[[#Headers],[Test]],(VLOOKUP(Data[[#This Row],[Product Family]],ProdFam[],3,FALSE)),(VLOOKUP(Data[[#This Row],[Product Family]],ProdFam[],2,FALSE))))</f>
        <v>60</v>
      </c>
      <c r="L799" s="1">
        <v>78</v>
      </c>
      <c r="M799" s="1">
        <v>6</v>
      </c>
      <c r="N799" s="7">
        <f>IFERROR(Data[[#This Row],[Actual Time]]/Data[[#This Row],[QTY Complete]],"")</f>
        <v>13</v>
      </c>
      <c r="O799" s="7">
        <f>IF(I799=ProdFam[[#Headers],[Test]],(VLOOKUP(Data[[#This Row],[Product Family]],ProdFam[],3,FALSE)),(VLOOKUP(Data[[#This Row],[Product Family]],ProdFam[],2,FALSE)))</f>
        <v>10</v>
      </c>
    </row>
    <row r="800" spans="2:16" x14ac:dyDescent="0.25">
      <c r="B800" s="1">
        <v>2</v>
      </c>
      <c r="C800" s="15">
        <f>YEAR(Data[[#This Row],[Date]])</f>
        <v>2020</v>
      </c>
      <c r="D800" s="5">
        <v>43836</v>
      </c>
      <c r="E800" s="1" t="s">
        <v>118</v>
      </c>
      <c r="F800" s="28">
        <v>30040</v>
      </c>
      <c r="G800" s="28" t="s">
        <v>35</v>
      </c>
      <c r="H800" s="1" t="s">
        <v>112</v>
      </c>
      <c r="I800" s="1" t="s">
        <v>0</v>
      </c>
      <c r="J800" s="1">
        <v>6</v>
      </c>
      <c r="K800" s="1">
        <f>J800*(IF(I800=ProdFam[[#Headers],[Test]],(VLOOKUP(Data[[#This Row],[Product Family]],ProdFam[],3,FALSE)),(VLOOKUP(Data[[#This Row],[Product Family]],ProdFam[],2,FALSE))))</f>
        <v>60</v>
      </c>
      <c r="L800" s="1">
        <v>111</v>
      </c>
      <c r="M800" s="1">
        <v>6</v>
      </c>
      <c r="N800" s="7">
        <f>IFERROR(Data[[#This Row],[Actual Time]]/Data[[#This Row],[QTY Complete]],"")</f>
        <v>18.5</v>
      </c>
      <c r="O800" s="7">
        <f>IF(I800=ProdFam[[#Headers],[Test]],(VLOOKUP(Data[[#This Row],[Product Family]],ProdFam[],3,FALSE)),(VLOOKUP(Data[[#This Row],[Product Family]],ProdFam[],2,FALSE)))</f>
        <v>10</v>
      </c>
    </row>
    <row r="801" spans="2:16" x14ac:dyDescent="0.25">
      <c r="B801" s="1">
        <v>2</v>
      </c>
      <c r="C801" s="15">
        <f>YEAR(Data[[#This Row],[Date]])</f>
        <v>2020</v>
      </c>
      <c r="D801" s="5">
        <v>43836</v>
      </c>
      <c r="E801" s="1" t="s">
        <v>118</v>
      </c>
      <c r="F801" s="28">
        <v>30158</v>
      </c>
      <c r="G801" s="28" t="s">
        <v>164</v>
      </c>
      <c r="H801" s="1" t="s">
        <v>112</v>
      </c>
      <c r="I801" s="1" t="s">
        <v>0</v>
      </c>
      <c r="J801" s="1">
        <v>13</v>
      </c>
      <c r="K801" s="1">
        <f>J801*(IF(I801=ProdFam[[#Headers],[Test]],(VLOOKUP(Data[[#This Row],[Product Family]],ProdFam[],3,FALSE)),(VLOOKUP(Data[[#This Row],[Product Family]],ProdFam[],2,FALSE))))</f>
        <v>130</v>
      </c>
      <c r="L801" s="1">
        <v>94</v>
      </c>
      <c r="M801" s="1">
        <v>13</v>
      </c>
      <c r="N801" s="7">
        <f>IFERROR(Data[[#This Row],[Actual Time]]/Data[[#This Row],[QTY Complete]],"")</f>
        <v>7.2307692307692308</v>
      </c>
      <c r="O801" s="7">
        <f>IF(I801=ProdFam[[#Headers],[Test]],(VLOOKUP(Data[[#This Row],[Product Family]],ProdFam[],3,FALSE)),(VLOOKUP(Data[[#This Row],[Product Family]],ProdFam[],2,FALSE)))</f>
        <v>10</v>
      </c>
    </row>
    <row r="802" spans="2:16" x14ac:dyDescent="0.25">
      <c r="B802" s="1">
        <v>2</v>
      </c>
      <c r="C802" s="15">
        <f>YEAR(Data[[#This Row],[Date]])</f>
        <v>2020</v>
      </c>
      <c r="D802" s="5">
        <v>43836</v>
      </c>
      <c r="E802" s="1" t="s">
        <v>118</v>
      </c>
      <c r="F802" s="28">
        <v>30072</v>
      </c>
      <c r="G802" s="28" t="s">
        <v>49</v>
      </c>
      <c r="H802" s="1" t="s">
        <v>112</v>
      </c>
      <c r="I802" s="1" t="s">
        <v>0</v>
      </c>
      <c r="J802" s="1">
        <v>12</v>
      </c>
      <c r="K802" s="1">
        <f>J802*(IF(I802=ProdFam[[#Headers],[Test]],(VLOOKUP(Data[[#This Row],[Product Family]],ProdFam[],3,FALSE)),(VLOOKUP(Data[[#This Row],[Product Family]],ProdFam[],2,FALSE))))</f>
        <v>120</v>
      </c>
      <c r="L802" s="1">
        <v>133</v>
      </c>
      <c r="M802" s="1">
        <v>12</v>
      </c>
      <c r="N802" s="7">
        <f>IFERROR(Data[[#This Row],[Actual Time]]/Data[[#This Row],[QTY Complete]],"")</f>
        <v>11.083333333333334</v>
      </c>
      <c r="O802" s="7">
        <f>IF(I802=ProdFam[[#Headers],[Test]],(VLOOKUP(Data[[#This Row],[Product Family]],ProdFam[],3,FALSE)),(VLOOKUP(Data[[#This Row],[Product Family]],ProdFam[],2,FALSE)))</f>
        <v>10</v>
      </c>
    </row>
    <row r="803" spans="2:16" x14ac:dyDescent="0.25">
      <c r="B803" s="24">
        <v>2</v>
      </c>
      <c r="C803" s="25">
        <f>YEAR(Data[[#This Row],[Date]])</f>
        <v>2020</v>
      </c>
      <c r="D803" s="5">
        <v>43836</v>
      </c>
      <c r="E803" s="24" t="s">
        <v>118</v>
      </c>
      <c r="F803" s="28">
        <v>30038</v>
      </c>
      <c r="G803" s="28" t="s">
        <v>6</v>
      </c>
      <c r="H803" s="24" t="s">
        <v>112</v>
      </c>
      <c r="I803" s="24" t="s">
        <v>0</v>
      </c>
      <c r="J803" s="24">
        <v>6</v>
      </c>
      <c r="K803" s="24">
        <f>J803*(IF(I803=ProdFam[[#Headers],[Test]],(VLOOKUP(Data[[#This Row],[Product Family]],ProdFam[],3,FALSE)),(VLOOKUP(Data[[#This Row],[Product Family]],ProdFam[],2,FALSE))))</f>
        <v>60</v>
      </c>
      <c r="L803" s="24">
        <v>1</v>
      </c>
      <c r="M803" s="24">
        <v>0</v>
      </c>
      <c r="N803" s="27" t="str">
        <f>IFERROR(Data[[#This Row],[Actual Time]]/Data[[#This Row],[QTY Complete]],"")</f>
        <v/>
      </c>
      <c r="O803" s="27">
        <f>IF(I803=ProdFam[[#Headers],[Test]],(VLOOKUP(Data[[#This Row],[Product Family]],ProdFam[],3,FALSE)),(VLOOKUP(Data[[#This Row],[Product Family]],ProdFam[],2,FALSE)))</f>
        <v>10</v>
      </c>
      <c r="P803" s="24"/>
    </row>
    <row r="804" spans="2:16" x14ac:dyDescent="0.25">
      <c r="B804" s="1">
        <v>2</v>
      </c>
      <c r="C804" s="15">
        <f>YEAR(Data[[#This Row],[Date]])</f>
        <v>2020</v>
      </c>
      <c r="D804" s="5">
        <v>43836</v>
      </c>
      <c r="E804" s="1" t="s">
        <v>117</v>
      </c>
      <c r="F804" s="1">
        <v>30024</v>
      </c>
      <c r="G804" s="1" t="s">
        <v>15</v>
      </c>
      <c r="H804" s="1" t="s">
        <v>113</v>
      </c>
      <c r="I804" s="1" t="s">
        <v>1</v>
      </c>
      <c r="J804" s="1">
        <v>8</v>
      </c>
      <c r="K804" s="1">
        <f>J804*(IF(I804=ProdFam[[#Headers],[Test]],(VLOOKUP(Data[[#This Row],[Product Family]],ProdFam[],3,FALSE)),(VLOOKUP(Data[[#This Row],[Product Family]],ProdFam[],2,FALSE))))</f>
        <v>256</v>
      </c>
      <c r="L804" s="1">
        <v>45</v>
      </c>
      <c r="M804" s="1">
        <v>8</v>
      </c>
      <c r="N804" s="7">
        <f>IFERROR(Data[[#This Row],[Actual Time]]/Data[[#This Row],[QTY Complete]],"")</f>
        <v>5.625</v>
      </c>
      <c r="O804" s="7">
        <f>IF(I804=ProdFam[[#Headers],[Test]],(VLOOKUP(Data[[#This Row],[Product Family]],ProdFam[],3,FALSE)),(VLOOKUP(Data[[#This Row],[Product Family]],ProdFam[],2,FALSE)))</f>
        <v>32</v>
      </c>
    </row>
    <row r="805" spans="2:16" x14ac:dyDescent="0.25">
      <c r="B805" s="1">
        <v>2</v>
      </c>
      <c r="C805" s="15">
        <f>YEAR(Data[[#This Row],[Date]])</f>
        <v>2020</v>
      </c>
      <c r="D805" s="5">
        <v>43836</v>
      </c>
      <c r="E805" s="1" t="s">
        <v>117</v>
      </c>
      <c r="F805" s="1">
        <v>29942</v>
      </c>
      <c r="G805" s="1" t="s">
        <v>29</v>
      </c>
      <c r="H805" s="1" t="s">
        <v>113</v>
      </c>
      <c r="I805" s="1" t="s">
        <v>1</v>
      </c>
      <c r="J805" s="1">
        <v>10</v>
      </c>
      <c r="K805" s="1">
        <f>J805*(IF(I805=ProdFam[[#Headers],[Test]],(VLOOKUP(Data[[#This Row],[Product Family]],ProdFam[],3,FALSE)),(VLOOKUP(Data[[#This Row],[Product Family]],ProdFam[],2,FALSE))))</f>
        <v>320</v>
      </c>
      <c r="L805" s="1">
        <v>156</v>
      </c>
      <c r="M805" s="1">
        <v>10</v>
      </c>
      <c r="N805" s="7">
        <f>IFERROR(Data[[#This Row],[Actual Time]]/Data[[#This Row],[QTY Complete]],"")</f>
        <v>15.6</v>
      </c>
      <c r="O805" s="7">
        <f>IF(I805=ProdFam[[#Headers],[Test]],(VLOOKUP(Data[[#This Row],[Product Family]],ProdFam[],3,FALSE)),(VLOOKUP(Data[[#This Row],[Product Family]],ProdFam[],2,FALSE)))</f>
        <v>32</v>
      </c>
    </row>
    <row r="806" spans="2:16" x14ac:dyDescent="0.25">
      <c r="B806" s="1">
        <f>WEEKNUM(Data[[#This Row],[Date]],1)</f>
        <v>2</v>
      </c>
      <c r="C806" s="15">
        <f>YEAR(Data[[#This Row],[Date]])</f>
        <v>2020</v>
      </c>
      <c r="D806" s="5">
        <v>43840</v>
      </c>
      <c r="E806" s="1" t="s">
        <v>111</v>
      </c>
      <c r="F806" s="29">
        <v>29430</v>
      </c>
      <c r="G806" s="30" t="s">
        <v>147</v>
      </c>
      <c r="H806" s="1" t="s">
        <v>115</v>
      </c>
      <c r="I806" s="1" t="s">
        <v>1</v>
      </c>
      <c r="J806" s="1">
        <v>3</v>
      </c>
      <c r="K806" s="1">
        <f>J806*(IF(I806=ProdFam[[#Headers],[Test]],(VLOOKUP(Data[[#This Row],[Product Family]],ProdFam[],3,FALSE)),(VLOOKUP(Data[[#This Row],[Product Family]],ProdFam[],2,FALSE))))</f>
        <v>72</v>
      </c>
      <c r="L806" s="1">
        <v>70</v>
      </c>
      <c r="M806" s="1">
        <v>3</v>
      </c>
      <c r="N806" s="7">
        <f>IFERROR(Data[[#This Row],[Actual Time]]/Data[[#This Row],[QTY Complete]],"")</f>
        <v>23.333333333333332</v>
      </c>
      <c r="O806" s="7">
        <f>IF(I806=ProdFam[[#Headers],[Test]],(VLOOKUP(Data[[#This Row],[Product Family]],ProdFam[],3,FALSE)),(VLOOKUP(Data[[#This Row],[Product Family]],ProdFam[],2,FALSE)))</f>
        <v>24</v>
      </c>
    </row>
    <row r="807" spans="2:16" x14ac:dyDescent="0.25">
      <c r="B807" s="1">
        <f>WEEKNUM(Data[[#This Row],[Date]],1)</f>
        <v>2</v>
      </c>
      <c r="C807" s="15">
        <f>YEAR(Data[[#This Row],[Date]])</f>
        <v>2020</v>
      </c>
      <c r="D807" s="5">
        <v>43840</v>
      </c>
      <c r="E807" s="1" t="s">
        <v>111</v>
      </c>
      <c r="F807" s="1">
        <v>30217</v>
      </c>
      <c r="G807" s="1" t="s">
        <v>165</v>
      </c>
      <c r="H807" s="1" t="s">
        <v>115</v>
      </c>
      <c r="I807" s="1" t="s">
        <v>1</v>
      </c>
      <c r="J807" s="1">
        <v>1</v>
      </c>
      <c r="L807" s="1">
        <v>1</v>
      </c>
      <c r="M807" s="1">
        <v>1</v>
      </c>
      <c r="N807" s="7">
        <f>IFERROR(Data[[#This Row],[Actual Time]]/Data[[#This Row],[QTY Complete]],"")</f>
        <v>1</v>
      </c>
      <c r="O807" s="7">
        <f>IF(I807=ProdFam[[#Headers],[Test]],(VLOOKUP(Data[[#This Row],[Product Family]],ProdFam[],3,FALSE)),(VLOOKUP(Data[[#This Row],[Product Family]],ProdFam[],2,FALSE)))</f>
        <v>24</v>
      </c>
    </row>
    <row r="808" spans="2:16" x14ac:dyDescent="0.25">
      <c r="B808" s="1">
        <f>WEEKNUM(Data[[#This Row],[Date]],1)</f>
        <v>2</v>
      </c>
      <c r="C808" s="15">
        <f>YEAR(Data[[#This Row],[Date]])</f>
        <v>2020</v>
      </c>
      <c r="D808" s="5">
        <v>43836</v>
      </c>
      <c r="E808" s="1" t="s">
        <v>131</v>
      </c>
      <c r="F808" s="1">
        <v>29985</v>
      </c>
      <c r="G808" s="1" t="s">
        <v>25</v>
      </c>
      <c r="H808" s="1" t="s">
        <v>113</v>
      </c>
      <c r="I808" s="1" t="s">
        <v>0</v>
      </c>
      <c r="J808" s="1">
        <v>10</v>
      </c>
      <c r="K808" s="1">
        <f>J808*(IF(I808=ProdFam[[#Headers],[Test]],(VLOOKUP(Data[[#This Row],[Product Family]],ProdFam[],3,FALSE)),(VLOOKUP(Data[[#This Row],[Product Family]],ProdFam[],2,FALSE))))</f>
        <v>470</v>
      </c>
      <c r="L808" s="1">
        <v>521</v>
      </c>
      <c r="M808" s="1">
        <v>7</v>
      </c>
      <c r="N808" s="7">
        <f>IFERROR(Data[[#This Row],[Actual Time]]/Data[[#This Row],[QTY Complete]],"")</f>
        <v>74.428571428571431</v>
      </c>
      <c r="O808" s="7">
        <f>IF(I808=ProdFam[[#Headers],[Test]],(VLOOKUP(Data[[#This Row],[Product Family]],ProdFam[],3,FALSE)),(VLOOKUP(Data[[#This Row],[Product Family]],ProdFam[],2,FALSE)))</f>
        <v>47</v>
      </c>
    </row>
    <row r="809" spans="2:16" x14ac:dyDescent="0.25">
      <c r="B809" s="1">
        <f>WEEKNUM(Data[[#This Row],[Date]],1)</f>
        <v>2</v>
      </c>
      <c r="C809" s="15">
        <f>YEAR(Data[[#This Row],[Date]])</f>
        <v>2020</v>
      </c>
      <c r="D809" s="5">
        <v>43837</v>
      </c>
      <c r="E809" s="1" t="s">
        <v>119</v>
      </c>
      <c r="F809" s="1">
        <v>29983</v>
      </c>
      <c r="G809" s="1" t="s">
        <v>11</v>
      </c>
      <c r="H809" s="1" t="s">
        <v>113</v>
      </c>
      <c r="I809" s="1" t="s">
        <v>1</v>
      </c>
      <c r="J809" s="1">
        <v>2</v>
      </c>
      <c r="K809" s="1">
        <f>J809*(IF(I809=ProdFam[[#Headers],[Test]],(VLOOKUP(Data[[#This Row],[Product Family]],ProdFam[],3,FALSE)),(VLOOKUP(Data[[#This Row],[Product Family]],ProdFam[],2,FALSE))))</f>
        <v>64</v>
      </c>
      <c r="L809" s="1">
        <v>50</v>
      </c>
      <c r="M809" s="1">
        <v>2</v>
      </c>
      <c r="N809" s="7">
        <f>IFERROR(Data[[#This Row],[Actual Time]]/Data[[#This Row],[QTY Complete]],"")</f>
        <v>25</v>
      </c>
      <c r="O809" s="7">
        <f>IF(I809=ProdFam[[#Headers],[Test]],(VLOOKUP(Data[[#This Row],[Product Family]],ProdFam[],3,FALSE)),(VLOOKUP(Data[[#This Row],[Product Family]],ProdFam[],2,FALSE)))</f>
        <v>32</v>
      </c>
    </row>
    <row r="810" spans="2:16" x14ac:dyDescent="0.25">
      <c r="B810" s="1">
        <f>WEEKNUM(Data[[#This Row],[Date]],1)</f>
        <v>2</v>
      </c>
      <c r="C810" s="15">
        <f>YEAR(Data[[#This Row],[Date]])</f>
        <v>2020</v>
      </c>
      <c r="D810" s="5">
        <v>43837</v>
      </c>
      <c r="E810" s="1" t="s">
        <v>119</v>
      </c>
      <c r="F810" s="1">
        <v>30067</v>
      </c>
      <c r="G810" s="1" t="s">
        <v>62</v>
      </c>
      <c r="H810" s="1" t="s">
        <v>112</v>
      </c>
      <c r="I810" s="1" t="s">
        <v>1</v>
      </c>
      <c r="J810" s="1">
        <v>24</v>
      </c>
      <c r="K810" s="1">
        <f>J810*(IF(I810=ProdFam[[#Headers],[Test]],(VLOOKUP(Data[[#This Row],[Product Family]],ProdFam[],3,FALSE)),(VLOOKUP(Data[[#This Row],[Product Family]],ProdFam[],2,FALSE))))</f>
        <v>240</v>
      </c>
      <c r="L810" s="1">
        <v>68</v>
      </c>
      <c r="M810" s="1">
        <v>24</v>
      </c>
      <c r="N810" s="7">
        <f>IFERROR(Data[[#This Row],[Actual Time]]/Data[[#This Row],[QTY Complete]],"")</f>
        <v>2.8333333333333335</v>
      </c>
      <c r="O810" s="7">
        <f>IF(I810=ProdFam[[#Headers],[Test]],(VLOOKUP(Data[[#This Row],[Product Family]],ProdFam[],3,FALSE)),(VLOOKUP(Data[[#This Row],[Product Family]],ProdFam[],2,FALSE)))</f>
        <v>10</v>
      </c>
    </row>
    <row r="811" spans="2:16" x14ac:dyDescent="0.25">
      <c r="B811" s="1">
        <f>WEEKNUM(Data[[#This Row],[Date]],1)</f>
        <v>2</v>
      </c>
      <c r="C811" s="15">
        <f>YEAR(Data[[#This Row],[Date]])</f>
        <v>2020</v>
      </c>
      <c r="D811" s="5">
        <v>43837</v>
      </c>
      <c r="E811" s="1" t="s">
        <v>128</v>
      </c>
      <c r="F811" s="29">
        <v>30169</v>
      </c>
      <c r="G811" s="30" t="s">
        <v>166</v>
      </c>
      <c r="H811" s="1" t="s">
        <v>162</v>
      </c>
      <c r="I811" s="1" t="s">
        <v>0</v>
      </c>
      <c r="J811" s="1">
        <v>3</v>
      </c>
      <c r="K811" s="1">
        <f>J811*(IF(I811=ProdFam[[#Headers],[Test]],(VLOOKUP(Data[[#This Row],[Product Family]],ProdFam[],3,FALSE)),(VLOOKUP(Data[[#This Row],[Product Family]],ProdFam[],2,FALSE))))</f>
        <v>30</v>
      </c>
      <c r="L811" s="1">
        <v>32</v>
      </c>
      <c r="M811" s="1">
        <v>3</v>
      </c>
      <c r="N811" s="7">
        <f>IFERROR(Data[[#This Row],[Actual Time]]/Data[[#This Row],[QTY Complete]],"")</f>
        <v>10.666666666666666</v>
      </c>
      <c r="O811" s="7">
        <f>IF(I811=ProdFam[[#Headers],[Test]],(VLOOKUP(Data[[#This Row],[Product Family]],ProdFam[],3,FALSE)),(VLOOKUP(Data[[#This Row],[Product Family]],ProdFam[],2,FALSE)))</f>
        <v>10</v>
      </c>
    </row>
    <row r="812" spans="2:16" x14ac:dyDescent="0.25">
      <c r="B812" s="1">
        <f>WEEKNUM(Data[[#This Row],[Date]],1)</f>
        <v>2</v>
      </c>
      <c r="C812" s="15">
        <f>YEAR(Data[[#This Row],[Date]])</f>
        <v>2020</v>
      </c>
      <c r="D812" s="5">
        <v>43837</v>
      </c>
      <c r="E812" s="1" t="s">
        <v>128</v>
      </c>
      <c r="F812" s="29">
        <v>63999</v>
      </c>
      <c r="G812" s="30" t="s">
        <v>28</v>
      </c>
      <c r="H812" s="1" t="s">
        <v>162</v>
      </c>
      <c r="I812" s="1" t="s">
        <v>0</v>
      </c>
      <c r="J812" s="1">
        <v>1</v>
      </c>
      <c r="K812" s="1">
        <f>J812*(IF(I812=ProdFam[[#Headers],[Test]],(VLOOKUP(Data[[#This Row],[Product Family]],ProdFam[],3,FALSE)),(VLOOKUP(Data[[#This Row],[Product Family]],ProdFam[],2,FALSE))))</f>
        <v>10</v>
      </c>
      <c r="L812" s="1">
        <v>14</v>
      </c>
      <c r="M812" s="1">
        <v>1</v>
      </c>
      <c r="N812" s="7">
        <f>IFERROR(Data[[#This Row],[Actual Time]]/Data[[#This Row],[QTY Complete]],"")</f>
        <v>14</v>
      </c>
      <c r="O812" s="7">
        <f>IF(I812=ProdFam[[#Headers],[Test]],(VLOOKUP(Data[[#This Row],[Product Family]],ProdFam[],3,FALSE)),(VLOOKUP(Data[[#This Row],[Product Family]],ProdFam[],2,FALSE)))</f>
        <v>10</v>
      </c>
    </row>
    <row r="813" spans="2:16" x14ac:dyDescent="0.25">
      <c r="B813" s="1">
        <f>WEEKNUM(Data[[#This Row],[Date]],1)</f>
        <v>2</v>
      </c>
      <c r="C813" s="15">
        <f>YEAR(Data[[#This Row],[Date]])</f>
        <v>2020</v>
      </c>
      <c r="D813" s="5">
        <v>43837</v>
      </c>
      <c r="E813" s="1" t="s">
        <v>128</v>
      </c>
      <c r="F813" s="29">
        <v>63134</v>
      </c>
      <c r="G813" s="30" t="s">
        <v>28</v>
      </c>
      <c r="H813" s="1" t="s">
        <v>162</v>
      </c>
      <c r="I813" s="1" t="s">
        <v>0</v>
      </c>
      <c r="J813" s="1">
        <v>1</v>
      </c>
      <c r="K813" s="1">
        <f>J813*(IF(I813=ProdFam[[#Headers],[Test]],(VLOOKUP(Data[[#This Row],[Product Family]],ProdFam[],3,FALSE)),(VLOOKUP(Data[[#This Row],[Product Family]],ProdFam[],2,FALSE))))</f>
        <v>10</v>
      </c>
      <c r="L813" s="1">
        <v>29</v>
      </c>
      <c r="M813" s="1">
        <v>1</v>
      </c>
      <c r="N813" s="7">
        <f>IFERROR(Data[[#This Row],[Actual Time]]/Data[[#This Row],[QTY Complete]],"")</f>
        <v>29</v>
      </c>
      <c r="O813" s="7">
        <f>IF(I813=ProdFam[[#Headers],[Test]],(VLOOKUP(Data[[#This Row],[Product Family]],ProdFam[],3,FALSE)),(VLOOKUP(Data[[#This Row],[Product Family]],ProdFam[],2,FALSE)))</f>
        <v>10</v>
      </c>
    </row>
    <row r="814" spans="2:16" x14ac:dyDescent="0.25">
      <c r="B814" s="1">
        <f>WEEKNUM(Data[[#This Row],[Date]],1)</f>
        <v>2</v>
      </c>
      <c r="C814" s="15">
        <f>YEAR(Data[[#This Row],[Date]])</f>
        <v>2020</v>
      </c>
      <c r="D814" s="5">
        <v>43837</v>
      </c>
      <c r="E814" s="1" t="s">
        <v>128</v>
      </c>
      <c r="F814" s="29">
        <v>63151</v>
      </c>
      <c r="G814" s="30" t="s">
        <v>28</v>
      </c>
      <c r="H814" s="1" t="s">
        <v>162</v>
      </c>
      <c r="I814" s="1" t="s">
        <v>0</v>
      </c>
      <c r="J814" s="1">
        <v>1</v>
      </c>
      <c r="K814" s="1">
        <f>J814*(IF(I814=ProdFam[[#Headers],[Test]],(VLOOKUP(Data[[#This Row],[Product Family]],ProdFam[],3,FALSE)),(VLOOKUP(Data[[#This Row],[Product Family]],ProdFam[],2,FALSE))))</f>
        <v>10</v>
      </c>
      <c r="L814" s="1">
        <v>6</v>
      </c>
      <c r="M814" s="1">
        <v>1</v>
      </c>
      <c r="N814" s="7">
        <f>IFERROR(Data[[#This Row],[Actual Time]]/Data[[#This Row],[QTY Complete]],"")</f>
        <v>6</v>
      </c>
      <c r="O814" s="7">
        <f>IF(I814=ProdFam[[#Headers],[Test]],(VLOOKUP(Data[[#This Row],[Product Family]],ProdFam[],3,FALSE)),(VLOOKUP(Data[[#This Row],[Product Family]],ProdFam[],2,FALSE)))</f>
        <v>10</v>
      </c>
    </row>
    <row r="815" spans="2:16" x14ac:dyDescent="0.25">
      <c r="B815" s="1">
        <f>WEEKNUM(Data[[#This Row],[Date]],1)</f>
        <v>2</v>
      </c>
      <c r="C815" s="15">
        <f>YEAR(Data[[#This Row],[Date]])</f>
        <v>2020</v>
      </c>
      <c r="D815" s="5">
        <v>43837</v>
      </c>
      <c r="E815" s="1" t="s">
        <v>128</v>
      </c>
      <c r="F815" s="29">
        <v>63923</v>
      </c>
      <c r="G815" s="30" t="s">
        <v>25</v>
      </c>
      <c r="H815" s="1" t="s">
        <v>162</v>
      </c>
      <c r="I815" s="1" t="s">
        <v>0</v>
      </c>
      <c r="J815" s="1">
        <v>1</v>
      </c>
      <c r="K815" s="1">
        <f>J815*(IF(I815=ProdFam[[#Headers],[Test]],(VLOOKUP(Data[[#This Row],[Product Family]],ProdFam[],3,FALSE)),(VLOOKUP(Data[[#This Row],[Product Family]],ProdFam[],2,FALSE))))</f>
        <v>10</v>
      </c>
      <c r="L815" s="1">
        <v>5</v>
      </c>
      <c r="M815" s="1">
        <v>1</v>
      </c>
      <c r="N815" s="7">
        <f>IFERROR(Data[[#This Row],[Actual Time]]/Data[[#This Row],[QTY Complete]],"")</f>
        <v>5</v>
      </c>
      <c r="O815" s="7">
        <f>IF(I815=ProdFam[[#Headers],[Test]],(VLOOKUP(Data[[#This Row],[Product Family]],ProdFam[],3,FALSE)),(VLOOKUP(Data[[#This Row],[Product Family]],ProdFam[],2,FALSE)))</f>
        <v>10</v>
      </c>
    </row>
    <row r="816" spans="2:16" x14ac:dyDescent="0.25">
      <c r="B816" s="1">
        <f>WEEKNUM(Data[[#This Row],[Date]],1)</f>
        <v>2</v>
      </c>
      <c r="C816" s="15">
        <f>YEAR(Data[[#This Row],[Date]])</f>
        <v>2020</v>
      </c>
      <c r="D816" s="5">
        <v>43837</v>
      </c>
      <c r="E816" s="1" t="s">
        <v>128</v>
      </c>
      <c r="F816" s="29">
        <v>62702</v>
      </c>
      <c r="G816" s="30" t="s">
        <v>25</v>
      </c>
      <c r="H816" s="1" t="s">
        <v>162</v>
      </c>
      <c r="I816" s="1" t="s">
        <v>0</v>
      </c>
      <c r="J816" s="1">
        <v>2</v>
      </c>
      <c r="K816" s="1">
        <f>J816*(IF(I816=ProdFam[[#Headers],[Test]],(VLOOKUP(Data[[#This Row],[Product Family]],ProdFam[],3,FALSE)),(VLOOKUP(Data[[#This Row],[Product Family]],ProdFam[],2,FALSE))))</f>
        <v>20</v>
      </c>
      <c r="L816" s="1">
        <v>41</v>
      </c>
      <c r="M816" s="1">
        <v>2</v>
      </c>
      <c r="N816" s="7">
        <f>IFERROR(Data[[#This Row],[Actual Time]]/Data[[#This Row],[QTY Complete]],"")</f>
        <v>20.5</v>
      </c>
      <c r="O816" s="7">
        <f>IF(I816=ProdFam[[#Headers],[Test]],(VLOOKUP(Data[[#This Row],[Product Family]],ProdFam[],3,FALSE)),(VLOOKUP(Data[[#This Row],[Product Family]],ProdFam[],2,FALSE)))</f>
        <v>10</v>
      </c>
    </row>
    <row r="817" spans="2:15" x14ac:dyDescent="0.25">
      <c r="B817" s="1">
        <f>WEEKNUM(Data[[#This Row],[Date]],1)</f>
        <v>2</v>
      </c>
      <c r="C817" s="15">
        <f>YEAR(Data[[#This Row],[Date]])</f>
        <v>2020</v>
      </c>
      <c r="D817" s="5">
        <v>43837</v>
      </c>
      <c r="E817" s="1" t="s">
        <v>128</v>
      </c>
      <c r="F817" s="29">
        <v>63161</v>
      </c>
      <c r="G817" s="30" t="s">
        <v>25</v>
      </c>
      <c r="H817" s="1" t="s">
        <v>162</v>
      </c>
      <c r="I817" s="1" t="s">
        <v>0</v>
      </c>
      <c r="J817" s="1">
        <v>2</v>
      </c>
      <c r="K817" s="1">
        <f>J817*(IF(I817=ProdFam[[#Headers],[Test]],(VLOOKUP(Data[[#This Row],[Product Family]],ProdFam[],3,FALSE)),(VLOOKUP(Data[[#This Row],[Product Family]],ProdFam[],2,FALSE))))</f>
        <v>20</v>
      </c>
      <c r="L817" s="1">
        <v>18</v>
      </c>
      <c r="M817" s="1">
        <v>2</v>
      </c>
      <c r="N817" s="7">
        <f>IFERROR(Data[[#This Row],[Actual Time]]/Data[[#This Row],[QTY Complete]],"")</f>
        <v>9</v>
      </c>
      <c r="O817" s="7">
        <f>IF(I817=ProdFam[[#Headers],[Test]],(VLOOKUP(Data[[#This Row],[Product Family]],ProdFam[],3,FALSE)),(VLOOKUP(Data[[#This Row],[Product Family]],ProdFam[],2,FALSE)))</f>
        <v>10</v>
      </c>
    </row>
    <row r="818" spans="2:15" x14ac:dyDescent="0.25">
      <c r="B818" s="1">
        <f>WEEKNUM(Data[[#This Row],[Date]],1)</f>
        <v>2</v>
      </c>
      <c r="C818" s="15">
        <f>YEAR(Data[[#This Row],[Date]])</f>
        <v>2020</v>
      </c>
      <c r="D818" s="5">
        <v>43837</v>
      </c>
      <c r="E818" s="1" t="s">
        <v>128</v>
      </c>
      <c r="F818" s="29">
        <v>63763</v>
      </c>
      <c r="G818" s="30" t="s">
        <v>28</v>
      </c>
      <c r="H818" s="1" t="s">
        <v>162</v>
      </c>
      <c r="I818" s="1" t="s">
        <v>0</v>
      </c>
      <c r="J818" s="1">
        <v>1</v>
      </c>
      <c r="K818" s="1">
        <f>J818*(IF(I818=ProdFam[[#Headers],[Test]],(VLOOKUP(Data[[#This Row],[Product Family]],ProdFam[],3,FALSE)),(VLOOKUP(Data[[#This Row],[Product Family]],ProdFam[],2,FALSE))))</f>
        <v>10</v>
      </c>
      <c r="L818" s="1">
        <v>11</v>
      </c>
      <c r="M818" s="1">
        <v>1</v>
      </c>
      <c r="N818" s="7">
        <f>IFERROR(Data[[#This Row],[Actual Time]]/Data[[#This Row],[QTY Complete]],"")</f>
        <v>11</v>
      </c>
      <c r="O818" s="7">
        <f>IF(I818=ProdFam[[#Headers],[Test]],(VLOOKUP(Data[[#This Row],[Product Family]],ProdFam[],3,FALSE)),(VLOOKUP(Data[[#This Row],[Product Family]],ProdFam[],2,FALSE)))</f>
        <v>10</v>
      </c>
    </row>
    <row r="819" spans="2:15" x14ac:dyDescent="0.25">
      <c r="B819" s="1">
        <f>WEEKNUM(Data[[#This Row],[Date]],1)</f>
        <v>2</v>
      </c>
      <c r="C819" s="15">
        <f>YEAR(Data[[#This Row],[Date]])</f>
        <v>2020</v>
      </c>
      <c r="D819" s="5">
        <v>43837</v>
      </c>
      <c r="E819" s="1" t="s">
        <v>128</v>
      </c>
      <c r="F819" s="29">
        <v>63308</v>
      </c>
      <c r="G819" s="30" t="s">
        <v>28</v>
      </c>
      <c r="H819" s="1" t="s">
        <v>162</v>
      </c>
      <c r="I819" s="1" t="s">
        <v>0</v>
      </c>
      <c r="J819" s="1">
        <v>3</v>
      </c>
      <c r="K819" s="1">
        <f>J819*(IF(I819=ProdFam[[#Headers],[Test]],(VLOOKUP(Data[[#This Row],[Product Family]],ProdFam[],3,FALSE)),(VLOOKUP(Data[[#This Row],[Product Family]],ProdFam[],2,FALSE))))</f>
        <v>30</v>
      </c>
      <c r="L819" s="1">
        <v>18</v>
      </c>
      <c r="M819" s="1">
        <v>3</v>
      </c>
      <c r="N819" s="7">
        <f>IFERROR(Data[[#This Row],[Actual Time]]/Data[[#This Row],[QTY Complete]],"")</f>
        <v>6</v>
      </c>
      <c r="O819" s="7">
        <f>IF(I819=ProdFam[[#Headers],[Test]],(VLOOKUP(Data[[#This Row],[Product Family]],ProdFam[],3,FALSE)),(VLOOKUP(Data[[#This Row],[Product Family]],ProdFam[],2,FALSE)))</f>
        <v>10</v>
      </c>
    </row>
    <row r="820" spans="2:15" x14ac:dyDescent="0.25">
      <c r="B820" s="1">
        <f>WEEKNUM(Data[[#This Row],[Date]],1)</f>
        <v>2</v>
      </c>
      <c r="C820" s="15">
        <f>YEAR(Data[[#This Row],[Date]])</f>
        <v>2020</v>
      </c>
      <c r="D820" s="5">
        <v>43837</v>
      </c>
      <c r="E820" s="1" t="s">
        <v>128</v>
      </c>
      <c r="F820" s="29">
        <v>64143</v>
      </c>
      <c r="G820" s="30" t="s">
        <v>28</v>
      </c>
      <c r="H820" s="1" t="s">
        <v>162</v>
      </c>
      <c r="I820" s="1" t="s">
        <v>0</v>
      </c>
      <c r="J820" s="1">
        <v>2</v>
      </c>
      <c r="K820" s="1">
        <f>J820*(IF(I820=ProdFam[[#Headers],[Test]],(VLOOKUP(Data[[#This Row],[Product Family]],ProdFam[],3,FALSE)),(VLOOKUP(Data[[#This Row],[Product Family]],ProdFam[],2,FALSE))))</f>
        <v>20</v>
      </c>
      <c r="L820" s="1">
        <v>16</v>
      </c>
      <c r="M820" s="1">
        <v>2</v>
      </c>
      <c r="N820" s="7">
        <f>IFERROR(Data[[#This Row],[Actual Time]]/Data[[#This Row],[QTY Complete]],"")</f>
        <v>8</v>
      </c>
      <c r="O820" s="7">
        <f>IF(I820=ProdFam[[#Headers],[Test]],(VLOOKUP(Data[[#This Row],[Product Family]],ProdFam[],3,FALSE)),(VLOOKUP(Data[[#This Row],[Product Family]],ProdFam[],2,FALSE)))</f>
        <v>10</v>
      </c>
    </row>
    <row r="821" spans="2:15" x14ac:dyDescent="0.25">
      <c r="B821" s="1">
        <f>WEEKNUM(Data[[#This Row],[Date]],1)</f>
        <v>2</v>
      </c>
      <c r="C821" s="15">
        <f>YEAR(Data[[#This Row],[Date]])</f>
        <v>2020</v>
      </c>
      <c r="D821" s="5">
        <v>43837</v>
      </c>
      <c r="E821" s="1" t="s">
        <v>128</v>
      </c>
      <c r="F821" s="29">
        <v>63896</v>
      </c>
      <c r="G821" s="30" t="s">
        <v>28</v>
      </c>
      <c r="H821" s="1" t="s">
        <v>162</v>
      </c>
      <c r="I821" s="1" t="s">
        <v>0</v>
      </c>
      <c r="J821" s="1">
        <v>1</v>
      </c>
      <c r="K821" s="1">
        <f>J821*(IF(I821=ProdFam[[#Headers],[Test]],(VLOOKUP(Data[[#This Row],[Product Family]],ProdFam[],3,FALSE)),(VLOOKUP(Data[[#This Row],[Product Family]],ProdFam[],2,FALSE))))</f>
        <v>10</v>
      </c>
      <c r="L821" s="1">
        <v>19</v>
      </c>
      <c r="M821" s="1">
        <v>1</v>
      </c>
      <c r="N821" s="7">
        <f>IFERROR(Data[[#This Row],[Actual Time]]/Data[[#This Row],[QTY Complete]],"")</f>
        <v>19</v>
      </c>
      <c r="O821" s="7">
        <f>IF(I821=ProdFam[[#Headers],[Test]],(VLOOKUP(Data[[#This Row],[Product Family]],ProdFam[],3,FALSE)),(VLOOKUP(Data[[#This Row],[Product Family]],ProdFam[],2,FALSE)))</f>
        <v>10</v>
      </c>
    </row>
    <row r="822" spans="2:15" x14ac:dyDescent="0.25">
      <c r="B822" s="1">
        <f>WEEKNUM(Data[[#This Row],[Date]],1)</f>
        <v>2</v>
      </c>
      <c r="C822" s="15">
        <f>YEAR(Data[[#This Row],[Date]])</f>
        <v>2020</v>
      </c>
      <c r="D822" s="5">
        <v>43837</v>
      </c>
      <c r="E822" s="1" t="s">
        <v>128</v>
      </c>
      <c r="F822" s="29">
        <v>62660</v>
      </c>
      <c r="G822" s="30" t="s">
        <v>25</v>
      </c>
      <c r="H822" s="1" t="s">
        <v>162</v>
      </c>
      <c r="I822" s="1" t="s">
        <v>0</v>
      </c>
      <c r="J822" s="1">
        <v>9</v>
      </c>
      <c r="K822" s="1">
        <f>J822*(IF(I822=ProdFam[[#Headers],[Test]],(VLOOKUP(Data[[#This Row],[Product Family]],ProdFam[],3,FALSE)),(VLOOKUP(Data[[#This Row],[Product Family]],ProdFam[],2,FALSE))))</f>
        <v>90</v>
      </c>
      <c r="L822" s="1">
        <v>45</v>
      </c>
      <c r="M822" s="1">
        <v>5</v>
      </c>
      <c r="N822" s="7">
        <f>IFERROR(Data[[#This Row],[Actual Time]]/Data[[#This Row],[QTY Complete]],"")</f>
        <v>9</v>
      </c>
      <c r="O822" s="7">
        <f>IF(I822=ProdFam[[#Headers],[Test]],(VLOOKUP(Data[[#This Row],[Product Family]],ProdFam[],3,FALSE)),(VLOOKUP(Data[[#This Row],[Product Family]],ProdFam[],2,FALSE)))</f>
        <v>10</v>
      </c>
    </row>
    <row r="823" spans="2:15" x14ac:dyDescent="0.25">
      <c r="B823" s="1">
        <f>WEEKNUM(Data[[#This Row],[Date]],1)</f>
        <v>2</v>
      </c>
      <c r="C823" s="15">
        <f>YEAR(Data[[#This Row],[Date]])</f>
        <v>2020</v>
      </c>
      <c r="D823" s="5">
        <v>43837</v>
      </c>
      <c r="E823" s="1" t="s">
        <v>128</v>
      </c>
      <c r="F823" s="29">
        <v>62660</v>
      </c>
      <c r="G823" s="30" t="s">
        <v>25</v>
      </c>
      <c r="H823" s="1" t="s">
        <v>162</v>
      </c>
      <c r="I823" s="1" t="s">
        <v>0</v>
      </c>
      <c r="J823" s="1">
        <v>4</v>
      </c>
      <c r="K823" s="1">
        <f>J823*(IF(I823=ProdFam[[#Headers],[Test]],(VLOOKUP(Data[[#This Row],[Product Family]],ProdFam[],3,FALSE)),(VLOOKUP(Data[[#This Row],[Product Family]],ProdFam[],2,FALSE))))</f>
        <v>40</v>
      </c>
      <c r="L823" s="1">
        <v>46</v>
      </c>
      <c r="M823" s="1">
        <v>4</v>
      </c>
      <c r="N823" s="7">
        <f>IFERROR(Data[[#This Row],[Actual Time]]/Data[[#This Row],[QTY Complete]],"")</f>
        <v>11.5</v>
      </c>
      <c r="O823" s="7">
        <f>IF(I823=ProdFam[[#Headers],[Test]],(VLOOKUP(Data[[#This Row],[Product Family]],ProdFam[],3,FALSE)),(VLOOKUP(Data[[#This Row],[Product Family]],ProdFam[],2,FALSE)))</f>
        <v>10</v>
      </c>
    </row>
    <row r="824" spans="2:15" x14ac:dyDescent="0.25">
      <c r="B824" s="1">
        <f>WEEKNUM(Data[[#This Row],[Date]],1)</f>
        <v>3</v>
      </c>
      <c r="C824" s="15">
        <f>YEAR(Data[[#This Row],[Date]])</f>
        <v>2020</v>
      </c>
      <c r="D824" s="5">
        <v>43846</v>
      </c>
      <c r="E824" s="1" t="s">
        <v>117</v>
      </c>
      <c r="F824" s="1">
        <v>30149</v>
      </c>
      <c r="G824" s="1" t="s">
        <v>60</v>
      </c>
      <c r="H824" s="1" t="s">
        <v>113</v>
      </c>
      <c r="I824" s="1" t="s">
        <v>1</v>
      </c>
      <c r="J824" s="1">
        <v>5</v>
      </c>
      <c r="K824" s="1">
        <f>J824*(IF(I824=ProdFam[[#Headers],[Test]],(VLOOKUP(Data[[#This Row],[Product Family]],ProdFam[],3,FALSE)),(VLOOKUP(Data[[#This Row],[Product Family]],ProdFam[],2,FALSE))))</f>
        <v>160</v>
      </c>
      <c r="L824" s="1">
        <v>163</v>
      </c>
      <c r="M824" s="1">
        <v>5</v>
      </c>
      <c r="N824" s="7">
        <f>IFERROR(Data[[#This Row],[Actual Time]]/Data[[#This Row],[QTY Complete]],"")</f>
        <v>32.6</v>
      </c>
      <c r="O824" s="7">
        <f>IF(I824=ProdFam[[#Headers],[Test]],(VLOOKUP(Data[[#This Row],[Product Family]],ProdFam[],3,FALSE)),(VLOOKUP(Data[[#This Row],[Product Family]],ProdFam[],2,FALSE)))</f>
        <v>32</v>
      </c>
    </row>
    <row r="825" spans="2:15" x14ac:dyDescent="0.25">
      <c r="B825" s="1">
        <f>WEEKNUM(Data[[#This Row],[Date]],1)</f>
        <v>3</v>
      </c>
      <c r="C825" s="15">
        <f>YEAR(Data[[#This Row],[Date]])</f>
        <v>2020</v>
      </c>
      <c r="D825" s="5">
        <v>43846</v>
      </c>
      <c r="E825" s="1" t="s">
        <v>117</v>
      </c>
      <c r="F825" s="1">
        <v>30161</v>
      </c>
      <c r="G825" s="1" t="s">
        <v>28</v>
      </c>
      <c r="H825" s="1" t="s">
        <v>113</v>
      </c>
      <c r="I825" s="1" t="s">
        <v>1</v>
      </c>
      <c r="J825" s="1">
        <v>8</v>
      </c>
      <c r="K825" s="1">
        <f>J825*(IF(I825=ProdFam[[#Headers],[Test]],(VLOOKUP(Data[[#This Row],[Product Family]],ProdFam[],3,FALSE)),(VLOOKUP(Data[[#This Row],[Product Family]],ProdFam[],2,FALSE))))</f>
        <v>256</v>
      </c>
      <c r="L825" s="1">
        <v>25</v>
      </c>
      <c r="M825" s="1">
        <v>2</v>
      </c>
      <c r="N825" s="7">
        <f>IFERROR(Data[[#This Row],[Actual Time]]/Data[[#This Row],[QTY Complete]],"")</f>
        <v>12.5</v>
      </c>
      <c r="O825" s="7">
        <f>IF(I825=ProdFam[[#Headers],[Test]],(VLOOKUP(Data[[#This Row],[Product Family]],ProdFam[],3,FALSE)),(VLOOKUP(Data[[#This Row],[Product Family]],ProdFam[],2,FALSE)))</f>
        <v>32</v>
      </c>
    </row>
    <row r="826" spans="2:15" x14ac:dyDescent="0.25">
      <c r="B826" s="1">
        <f>WEEKNUM(Data[[#This Row],[Date]],1)</f>
        <v>3</v>
      </c>
      <c r="C826" s="15">
        <f>YEAR(Data[[#This Row],[Date]])</f>
        <v>2020</v>
      </c>
      <c r="D826" s="5">
        <v>43846</v>
      </c>
      <c r="E826" s="1" t="s">
        <v>117</v>
      </c>
      <c r="F826" s="1">
        <v>30173</v>
      </c>
      <c r="G826" s="1" t="s">
        <v>26</v>
      </c>
      <c r="H826" s="1" t="s">
        <v>113</v>
      </c>
      <c r="I826" s="1" t="s">
        <v>1</v>
      </c>
      <c r="J826" s="1">
        <v>10</v>
      </c>
      <c r="K826" s="1">
        <f>J826*(IF(I826=ProdFam[[#Headers],[Test]],(VLOOKUP(Data[[#This Row],[Product Family]],ProdFam[],3,FALSE)),(VLOOKUP(Data[[#This Row],[Product Family]],ProdFam[],2,FALSE))))</f>
        <v>320</v>
      </c>
      <c r="L826" s="1">
        <v>20</v>
      </c>
      <c r="M826" s="1">
        <v>0</v>
      </c>
      <c r="N826" s="7" t="str">
        <f>IFERROR(Data[[#This Row],[Actual Time]]/Data[[#This Row],[QTY Complete]],"")</f>
        <v/>
      </c>
      <c r="O826" s="7">
        <f>IF(I826=ProdFam[[#Headers],[Test]],(VLOOKUP(Data[[#This Row],[Product Family]],ProdFam[],3,FALSE)),(VLOOKUP(Data[[#This Row],[Product Family]],ProdFam[],2,FALSE)))</f>
        <v>32</v>
      </c>
    </row>
    <row r="827" spans="2:15" x14ac:dyDescent="0.25">
      <c r="B827" s="1">
        <f>WEEKNUM(Data[[#This Row],[Date]],1)</f>
        <v>3</v>
      </c>
      <c r="C827" s="15">
        <f>YEAR(Data[[#This Row],[Date]])</f>
        <v>2020</v>
      </c>
      <c r="D827" s="5">
        <v>43846</v>
      </c>
      <c r="E827" s="1" t="s">
        <v>117</v>
      </c>
      <c r="F827" s="1">
        <v>30162</v>
      </c>
      <c r="G827" s="1" t="s">
        <v>47</v>
      </c>
      <c r="H827" s="1" t="s">
        <v>113</v>
      </c>
      <c r="I827" s="1" t="s">
        <v>1</v>
      </c>
      <c r="J827" s="1">
        <v>4</v>
      </c>
      <c r="K827" s="1">
        <f>J827*(IF(I827=ProdFam[[#Headers],[Test]],(VLOOKUP(Data[[#This Row],[Product Family]],ProdFam[],3,FALSE)),(VLOOKUP(Data[[#This Row],[Product Family]],ProdFam[],2,FALSE))))</f>
        <v>128</v>
      </c>
      <c r="L827" s="1">
        <v>59</v>
      </c>
      <c r="M827" s="1">
        <v>4</v>
      </c>
      <c r="N827" s="7">
        <f>IFERROR(Data[[#This Row],[Actual Time]]/Data[[#This Row],[QTY Complete]],"")</f>
        <v>14.75</v>
      </c>
      <c r="O827" s="7">
        <f>IF(I827=ProdFam[[#Headers],[Test]],(VLOOKUP(Data[[#This Row],[Product Family]],ProdFam[],3,FALSE)),(VLOOKUP(Data[[#This Row],[Product Family]],ProdFam[],2,FALSE)))</f>
        <v>32</v>
      </c>
    </row>
    <row r="828" spans="2:15" x14ac:dyDescent="0.25">
      <c r="B828" s="1">
        <f>WEEKNUM(Data[[#This Row],[Date]],1)</f>
        <v>3</v>
      </c>
      <c r="C828" s="15">
        <f>YEAR(Data[[#This Row],[Date]])</f>
        <v>2020</v>
      </c>
      <c r="D828" s="5">
        <v>43846</v>
      </c>
      <c r="E828" s="1" t="s">
        <v>117</v>
      </c>
      <c r="F828" s="1">
        <v>30149</v>
      </c>
      <c r="G828" s="1" t="s">
        <v>60</v>
      </c>
      <c r="H828" s="1" t="s">
        <v>113</v>
      </c>
      <c r="I828" s="1" t="s">
        <v>1</v>
      </c>
      <c r="J828" s="1">
        <v>5</v>
      </c>
      <c r="K828" s="1">
        <f>J828*(IF(I828=ProdFam[[#Headers],[Test]],(VLOOKUP(Data[[#This Row],[Product Family]],ProdFam[],3,FALSE)),(VLOOKUP(Data[[#This Row],[Product Family]],ProdFam[],2,FALSE))))</f>
        <v>160</v>
      </c>
      <c r="L828" s="1">
        <v>111</v>
      </c>
      <c r="M828" s="1">
        <v>5</v>
      </c>
      <c r="N828" s="7">
        <f>IFERROR(Data[[#This Row],[Actual Time]]/Data[[#This Row],[QTY Complete]],"")</f>
        <v>22.2</v>
      </c>
      <c r="O828" s="7">
        <f>IF(I828=ProdFam[[#Headers],[Test]],(VLOOKUP(Data[[#This Row],[Product Family]],ProdFam[],3,FALSE)),(VLOOKUP(Data[[#This Row],[Product Family]],ProdFam[],2,FALSE)))</f>
        <v>32</v>
      </c>
    </row>
    <row r="829" spans="2:15" x14ac:dyDescent="0.25">
      <c r="B829" s="1">
        <v>3</v>
      </c>
      <c r="C829" s="15">
        <v>2020</v>
      </c>
      <c r="D829" s="5">
        <v>43846</v>
      </c>
      <c r="E829" s="1" t="s">
        <v>117</v>
      </c>
      <c r="F829" s="1">
        <v>30161</v>
      </c>
      <c r="G829" s="1" t="s">
        <v>28</v>
      </c>
      <c r="H829" s="1" t="s">
        <v>113</v>
      </c>
      <c r="I829" s="1" t="s">
        <v>1</v>
      </c>
      <c r="J829" s="1">
        <v>8</v>
      </c>
      <c r="K829" s="1">
        <f>J829*(IF(I829=ProdFam[[#Headers],[Test]],(VLOOKUP(Data[[#This Row],[Product Family]],ProdFam[],3,FALSE)),(VLOOKUP(Data[[#This Row],[Product Family]],ProdFam[],2,FALSE))))</f>
        <v>256</v>
      </c>
      <c r="L829" s="1">
        <v>115</v>
      </c>
      <c r="M829" s="1">
        <v>5</v>
      </c>
      <c r="N829" s="7">
        <f>IFERROR(Data[[#This Row],[Actual Time]]/Data[[#This Row],[QTY Complete]],"")</f>
        <v>23</v>
      </c>
      <c r="O829" s="7">
        <f>IF(I829=ProdFam[[#Headers],[Test]],(VLOOKUP(Data[[#This Row],[Product Family]],ProdFam[],3,FALSE)),(VLOOKUP(Data[[#This Row],[Product Family]],ProdFam[],2,FALSE)))</f>
        <v>32</v>
      </c>
    </row>
    <row r="830" spans="2:15" x14ac:dyDescent="0.25">
      <c r="B830" s="1">
        <v>3</v>
      </c>
      <c r="C830" s="15">
        <v>2020</v>
      </c>
      <c r="D830" s="5">
        <v>43846</v>
      </c>
      <c r="E830" s="1" t="s">
        <v>117</v>
      </c>
      <c r="F830" s="1">
        <v>30131</v>
      </c>
      <c r="G830" s="1" t="s">
        <v>15</v>
      </c>
      <c r="H830" s="1" t="s">
        <v>113</v>
      </c>
      <c r="I830" s="1" t="s">
        <v>1</v>
      </c>
      <c r="J830" s="1">
        <v>10</v>
      </c>
      <c r="K830" s="1">
        <f>J830*(IF(I830=ProdFam[[#Headers],[Test]],(VLOOKUP(Data[[#This Row],[Product Family]],ProdFam[],3,FALSE)),(VLOOKUP(Data[[#This Row],[Product Family]],ProdFam[],2,FALSE))))</f>
        <v>320</v>
      </c>
      <c r="L830" s="1">
        <v>10</v>
      </c>
      <c r="M830" s="1">
        <v>1</v>
      </c>
      <c r="N830" s="7">
        <f>IFERROR(Data[[#This Row],[Actual Time]]/Data[[#This Row],[QTY Complete]],"")</f>
        <v>10</v>
      </c>
      <c r="O830" s="7">
        <f>IF(I830=ProdFam[[#Headers],[Test]],(VLOOKUP(Data[[#This Row],[Product Family]],ProdFam[],3,FALSE)),(VLOOKUP(Data[[#This Row],[Product Family]],ProdFam[],2,FALSE)))</f>
        <v>32</v>
      </c>
    </row>
    <row r="831" spans="2:15" x14ac:dyDescent="0.25">
      <c r="B831" s="1">
        <v>3</v>
      </c>
      <c r="C831" s="15">
        <v>2020</v>
      </c>
      <c r="D831" s="5">
        <v>43846</v>
      </c>
      <c r="E831" s="1" t="s">
        <v>117</v>
      </c>
      <c r="F831" s="1">
        <v>30131</v>
      </c>
      <c r="G831" s="1" t="s">
        <v>15</v>
      </c>
      <c r="H831" s="1" t="s">
        <v>113</v>
      </c>
      <c r="I831" s="1" t="s">
        <v>1</v>
      </c>
      <c r="J831" s="1">
        <v>10</v>
      </c>
      <c r="K831" s="1">
        <f>J831*(IF(I831=ProdFam[[#Headers],[Test]],(VLOOKUP(Data[[#This Row],[Product Family]],ProdFam[],3,FALSE)),(VLOOKUP(Data[[#This Row],[Product Family]],ProdFam[],2,FALSE))))</f>
        <v>320</v>
      </c>
      <c r="L831" s="1">
        <v>96</v>
      </c>
      <c r="M831" s="1">
        <v>5</v>
      </c>
      <c r="N831" s="7">
        <f>IFERROR(Data[[#This Row],[Actual Time]]/Data[[#This Row],[QTY Complete]],"")</f>
        <v>19.2</v>
      </c>
      <c r="O831" s="7">
        <f>IF(I831=ProdFam[[#Headers],[Test]],(VLOOKUP(Data[[#This Row],[Product Family]],ProdFam[],3,FALSE)),(VLOOKUP(Data[[#This Row],[Product Family]],ProdFam[],2,FALSE)))</f>
        <v>32</v>
      </c>
    </row>
    <row r="832" spans="2:15" x14ac:dyDescent="0.25">
      <c r="B832" s="1">
        <v>3</v>
      </c>
      <c r="C832" s="15">
        <v>2020</v>
      </c>
      <c r="D832" s="5">
        <v>43846</v>
      </c>
      <c r="E832" s="1" t="s">
        <v>117</v>
      </c>
      <c r="F832" s="1">
        <v>30142</v>
      </c>
      <c r="G832" s="1" t="s">
        <v>167</v>
      </c>
      <c r="H832" s="1" t="s">
        <v>113</v>
      </c>
      <c r="I832" s="1" t="s">
        <v>1</v>
      </c>
      <c r="J832" s="1">
        <v>2</v>
      </c>
      <c r="K832" s="1">
        <f>J832*(IF(I832=ProdFam[[#Headers],[Test]],(VLOOKUP(Data[[#This Row],[Product Family]],ProdFam[],3,FALSE)),(VLOOKUP(Data[[#This Row],[Product Family]],ProdFam[],2,FALSE))))</f>
        <v>64</v>
      </c>
      <c r="L832" s="1">
        <v>23</v>
      </c>
      <c r="M832" s="1">
        <v>2</v>
      </c>
      <c r="N832" s="7">
        <f>IFERROR(Data[[#This Row],[Actual Time]]/Data[[#This Row],[QTY Complete]],"")</f>
        <v>11.5</v>
      </c>
      <c r="O832" s="7">
        <f>IF(I832=ProdFam[[#Headers],[Test]],(VLOOKUP(Data[[#This Row],[Product Family]],ProdFam[],3,FALSE)),(VLOOKUP(Data[[#This Row],[Product Family]],ProdFam[],2,FALSE)))</f>
        <v>32</v>
      </c>
    </row>
    <row r="833" spans="2:15" x14ac:dyDescent="0.25">
      <c r="B833" s="1">
        <f>WEEKNUM(Data[[#This Row],[Date]],1)</f>
        <v>3</v>
      </c>
      <c r="C833" s="15">
        <f>YEAR(Data[[#This Row],[Date]])</f>
        <v>2020</v>
      </c>
      <c r="D833" s="5">
        <v>43846</v>
      </c>
      <c r="E833" s="1" t="s">
        <v>117</v>
      </c>
      <c r="F833" s="1">
        <v>30136</v>
      </c>
      <c r="G833" s="1" t="s">
        <v>41</v>
      </c>
      <c r="H833" s="1" t="s">
        <v>113</v>
      </c>
      <c r="I833" s="1" t="s">
        <v>1</v>
      </c>
      <c r="J833" s="1">
        <v>1</v>
      </c>
      <c r="K833" s="1">
        <f>J833*(IF(I833=ProdFam[[#Headers],[Test]],(VLOOKUP(Data[[#This Row],[Product Family]],ProdFam[],3,FALSE)),(VLOOKUP(Data[[#This Row],[Product Family]],ProdFam[],2,FALSE))))</f>
        <v>32</v>
      </c>
      <c r="L833" s="1">
        <v>34</v>
      </c>
      <c r="M833" s="1">
        <v>1</v>
      </c>
      <c r="N833" s="7">
        <f>IFERROR(Data[[#This Row],[Actual Time]]/Data[[#This Row],[QTY Complete]],"")</f>
        <v>34</v>
      </c>
      <c r="O833" s="7">
        <f>IF(I833=ProdFam[[#Headers],[Test]],(VLOOKUP(Data[[#This Row],[Product Family]],ProdFam[],3,FALSE)),(VLOOKUP(Data[[#This Row],[Product Family]],ProdFam[],2,FALSE)))</f>
        <v>32</v>
      </c>
    </row>
    <row r="834" spans="2:15" x14ac:dyDescent="0.25">
      <c r="B834" s="1">
        <f>WEEKNUM(Data[[#This Row],[Date]],1)</f>
        <v>3</v>
      </c>
      <c r="C834" s="15">
        <f>YEAR(Data[[#This Row],[Date]])</f>
        <v>2020</v>
      </c>
      <c r="D834" s="5">
        <v>43846</v>
      </c>
      <c r="E834" s="1" t="s">
        <v>117</v>
      </c>
      <c r="F834" s="1">
        <v>30146</v>
      </c>
      <c r="G834" s="1" t="s">
        <v>25</v>
      </c>
      <c r="H834" s="1" t="s">
        <v>113</v>
      </c>
      <c r="I834" s="1" t="s">
        <v>1</v>
      </c>
      <c r="J834" s="1">
        <v>10</v>
      </c>
      <c r="K834" s="1">
        <f>J834*(IF(I834=ProdFam[[#Headers],[Test]],(VLOOKUP(Data[[#This Row],[Product Family]],ProdFam[],3,FALSE)),(VLOOKUP(Data[[#This Row],[Product Family]],ProdFam[],2,FALSE))))</f>
        <v>320</v>
      </c>
      <c r="L834" s="1">
        <v>19</v>
      </c>
      <c r="M834" s="1">
        <v>1</v>
      </c>
      <c r="N834" s="7">
        <f>IFERROR(Data[[#This Row],[Actual Time]]/Data[[#This Row],[QTY Complete]],"")</f>
        <v>19</v>
      </c>
      <c r="O834" s="7">
        <f>IF(I834=ProdFam[[#Headers],[Test]],(VLOOKUP(Data[[#This Row],[Product Family]],ProdFam[],3,FALSE)),(VLOOKUP(Data[[#This Row],[Product Family]],ProdFam[],2,FALSE)))</f>
        <v>32</v>
      </c>
    </row>
    <row r="835" spans="2:15" x14ac:dyDescent="0.25">
      <c r="B835" s="1">
        <f>WEEKNUM(Data[[#This Row],[Date]],1)</f>
        <v>3</v>
      </c>
      <c r="C835" s="15">
        <f>YEAR(Data[[#This Row],[Date]])</f>
        <v>2020</v>
      </c>
      <c r="D835" s="5">
        <v>43846</v>
      </c>
      <c r="E835" s="1" t="s">
        <v>117</v>
      </c>
      <c r="F835" s="1">
        <v>30150</v>
      </c>
      <c r="G835" s="1" t="s">
        <v>44</v>
      </c>
      <c r="H835" s="1" t="s">
        <v>113</v>
      </c>
      <c r="I835" s="1" t="s">
        <v>1</v>
      </c>
      <c r="J835" s="1">
        <v>4</v>
      </c>
      <c r="K835" s="1">
        <f>J835*(IF(I835=ProdFam[[#Headers],[Test]],(VLOOKUP(Data[[#This Row],[Product Family]],ProdFam[],3,FALSE)),(VLOOKUP(Data[[#This Row],[Product Family]],ProdFam[],2,FALSE))))</f>
        <v>128</v>
      </c>
      <c r="L835" s="1">
        <v>54</v>
      </c>
      <c r="M835" s="1">
        <v>3</v>
      </c>
      <c r="N835" s="7">
        <f>IFERROR(Data[[#This Row],[Actual Time]]/Data[[#This Row],[QTY Complete]],"")</f>
        <v>18</v>
      </c>
      <c r="O835" s="7">
        <f>IF(I835=ProdFam[[#Headers],[Test]],(VLOOKUP(Data[[#This Row],[Product Family]],ProdFam[],3,FALSE)),(VLOOKUP(Data[[#This Row],[Product Family]],ProdFam[],2,FALSE)))</f>
        <v>32</v>
      </c>
    </row>
    <row r="836" spans="2:15" x14ac:dyDescent="0.25">
      <c r="B836" s="1">
        <f>WEEKNUM(Data[[#This Row],[Date]],1)</f>
        <v>3</v>
      </c>
      <c r="C836" s="15">
        <f>YEAR(Data[[#This Row],[Date]])</f>
        <v>2020</v>
      </c>
      <c r="D836" s="5">
        <v>43846</v>
      </c>
      <c r="E836" s="1" t="s">
        <v>117</v>
      </c>
      <c r="F836" s="1" t="s">
        <v>168</v>
      </c>
      <c r="G836" s="1" t="s">
        <v>169</v>
      </c>
      <c r="H836" s="1" t="s">
        <v>113</v>
      </c>
      <c r="I836" s="1" t="s">
        <v>1</v>
      </c>
      <c r="J836" s="1">
        <v>26</v>
      </c>
      <c r="K836" s="1">
        <f>J836*(IF(I836=ProdFam[[#Headers],[Test]],(VLOOKUP(Data[[#This Row],[Product Family]],ProdFam[],3,FALSE)),(VLOOKUP(Data[[#This Row],[Product Family]],ProdFam[],2,FALSE))))</f>
        <v>832</v>
      </c>
      <c r="L836" s="1">
        <v>165</v>
      </c>
      <c r="M836" s="1">
        <v>26</v>
      </c>
      <c r="N836" s="7">
        <f>IFERROR(Data[[#This Row],[Actual Time]]/Data[[#This Row],[QTY Complete]],"")</f>
        <v>6.3461538461538458</v>
      </c>
      <c r="O836" s="7">
        <f>IF(I836=ProdFam[[#Headers],[Test]],(VLOOKUP(Data[[#This Row],[Product Family]],ProdFam[],3,FALSE)),(VLOOKUP(Data[[#This Row],[Product Family]],ProdFam[],2,FALSE)))</f>
        <v>32</v>
      </c>
    </row>
    <row r="837" spans="2:15" x14ac:dyDescent="0.25">
      <c r="B837" s="1">
        <f>WEEKNUM(Data[[#This Row],[Date]],1)</f>
        <v>3</v>
      </c>
      <c r="C837" s="15">
        <f>YEAR(Data[[#This Row],[Date]])</f>
        <v>2020</v>
      </c>
      <c r="D837" s="5">
        <v>43846</v>
      </c>
      <c r="E837" s="1" t="s">
        <v>117</v>
      </c>
      <c r="F837" s="1">
        <v>30131</v>
      </c>
      <c r="G837" s="1" t="s">
        <v>15</v>
      </c>
      <c r="H837" s="1" t="s">
        <v>113</v>
      </c>
      <c r="I837" s="1" t="s">
        <v>1</v>
      </c>
      <c r="J837" s="1">
        <v>10</v>
      </c>
      <c r="K837" s="1">
        <f>J837*(IF(I837=ProdFam[[#Headers],[Test]],(VLOOKUP(Data[[#This Row],[Product Family]],ProdFam[],3,FALSE)),(VLOOKUP(Data[[#This Row],[Product Family]],ProdFam[],2,FALSE))))</f>
        <v>320</v>
      </c>
      <c r="L837" s="1">
        <v>78</v>
      </c>
      <c r="M837" s="1">
        <v>4</v>
      </c>
      <c r="N837" s="7">
        <f>IFERROR(Data[[#This Row],[Actual Time]]/Data[[#This Row],[QTY Complete]],"")</f>
        <v>19.5</v>
      </c>
      <c r="O837" s="7">
        <f>IF(I837=ProdFam[[#Headers],[Test]],(VLOOKUP(Data[[#This Row],[Product Family]],ProdFam[],3,FALSE)),(VLOOKUP(Data[[#This Row],[Product Family]],ProdFam[],2,FALSE)))</f>
        <v>32</v>
      </c>
    </row>
    <row r="838" spans="2:15" x14ac:dyDescent="0.25">
      <c r="B838" s="1">
        <f>WEEKNUM(Data[[#This Row],[Date]],1)</f>
        <v>3</v>
      </c>
      <c r="C838" s="15">
        <f>YEAR(Data[[#This Row],[Date]])</f>
        <v>2020</v>
      </c>
      <c r="D838" s="5">
        <v>43846</v>
      </c>
      <c r="E838" s="1" t="s">
        <v>117</v>
      </c>
      <c r="F838" s="1">
        <v>30147</v>
      </c>
      <c r="G838" s="1" t="s">
        <v>4</v>
      </c>
      <c r="H838" s="1" t="s">
        <v>113</v>
      </c>
      <c r="I838" s="1" t="s">
        <v>1</v>
      </c>
      <c r="J838" s="1">
        <v>6</v>
      </c>
      <c r="K838" s="1">
        <f>J838*(IF(I838=ProdFam[[#Headers],[Test]],(VLOOKUP(Data[[#This Row],[Product Family]],ProdFam[],3,FALSE)),(VLOOKUP(Data[[#This Row],[Product Family]],ProdFam[],2,FALSE))))</f>
        <v>192</v>
      </c>
      <c r="L838" s="1">
        <v>20</v>
      </c>
      <c r="M838" s="1">
        <v>0</v>
      </c>
      <c r="N838" s="7" t="str">
        <f>IFERROR(Data[[#This Row],[Actual Time]]/Data[[#This Row],[QTY Complete]],"")</f>
        <v/>
      </c>
      <c r="O838" s="7">
        <f>IF(I838=ProdFam[[#Headers],[Test]],(VLOOKUP(Data[[#This Row],[Product Family]],ProdFam[],3,FALSE)),(VLOOKUP(Data[[#This Row],[Product Family]],ProdFam[],2,FALSE)))</f>
        <v>32</v>
      </c>
    </row>
    <row r="839" spans="2:15" x14ac:dyDescent="0.25">
      <c r="B839" s="1">
        <f>WEEKNUM(Data[[#This Row],[Date]],1)</f>
        <v>3</v>
      </c>
      <c r="C839" s="15">
        <f>YEAR(Data[[#This Row],[Date]])</f>
        <v>2020</v>
      </c>
      <c r="D839" s="5">
        <v>43846</v>
      </c>
      <c r="E839" s="1" t="s">
        <v>117</v>
      </c>
      <c r="F839" s="1">
        <v>30147</v>
      </c>
      <c r="G839" s="1" t="s">
        <v>4</v>
      </c>
      <c r="H839" s="1" t="s">
        <v>113</v>
      </c>
      <c r="I839" s="1" t="s">
        <v>1</v>
      </c>
      <c r="J839" s="1">
        <v>6</v>
      </c>
      <c r="K839" s="1">
        <f>J839*(IF(I839=ProdFam[[#Headers],[Test]],(VLOOKUP(Data[[#This Row],[Product Family]],ProdFam[],3,FALSE)),(VLOOKUP(Data[[#This Row],[Product Family]],ProdFam[],2,FALSE))))</f>
        <v>192</v>
      </c>
      <c r="L839" s="1">
        <v>112</v>
      </c>
      <c r="M839" s="1">
        <v>6</v>
      </c>
      <c r="N839" s="7">
        <f>IFERROR(Data[[#This Row],[Actual Time]]/Data[[#This Row],[QTY Complete]],"")</f>
        <v>18.666666666666668</v>
      </c>
      <c r="O839" s="7">
        <f>IF(I839=ProdFam[[#Headers],[Test]],(VLOOKUP(Data[[#This Row],[Product Family]],ProdFam[],3,FALSE)),(VLOOKUP(Data[[#This Row],[Product Family]],ProdFam[],2,FALSE)))</f>
        <v>32</v>
      </c>
    </row>
    <row r="840" spans="2:15" x14ac:dyDescent="0.25">
      <c r="B840" s="1">
        <f>WEEKNUM(Data[[#This Row],[Date]],1)</f>
        <v>3</v>
      </c>
      <c r="C840" s="15">
        <f>YEAR(Data[[#This Row],[Date]])</f>
        <v>2020</v>
      </c>
      <c r="D840" s="5">
        <v>43846</v>
      </c>
      <c r="E840" s="1" t="s">
        <v>117</v>
      </c>
      <c r="F840" s="1">
        <v>30148</v>
      </c>
      <c r="G840" s="1" t="s">
        <v>35</v>
      </c>
      <c r="H840" s="1" t="s">
        <v>113</v>
      </c>
      <c r="I840" s="1" t="s">
        <v>1</v>
      </c>
      <c r="J840" s="1">
        <v>9</v>
      </c>
      <c r="K840" s="1">
        <f>J840*(IF(I840=ProdFam[[#Headers],[Test]],(VLOOKUP(Data[[#This Row],[Product Family]],ProdFam[],3,FALSE)),(VLOOKUP(Data[[#This Row],[Product Family]],ProdFam[],2,FALSE))))</f>
        <v>288</v>
      </c>
      <c r="L840" s="1">
        <v>30</v>
      </c>
      <c r="M840" s="1">
        <v>9</v>
      </c>
      <c r="N840" s="7">
        <f>IFERROR(Data[[#This Row],[Actual Time]]/Data[[#This Row],[QTY Complete]],"")</f>
        <v>3.3333333333333335</v>
      </c>
      <c r="O840" s="7">
        <f>IF(I840=ProdFam[[#Headers],[Test]],(VLOOKUP(Data[[#This Row],[Product Family]],ProdFam[],3,FALSE)),(VLOOKUP(Data[[#This Row],[Product Family]],ProdFam[],2,FALSE)))</f>
        <v>32</v>
      </c>
    </row>
    <row r="841" spans="2:15" x14ac:dyDescent="0.25">
      <c r="B841" s="1">
        <f>WEEKNUM(Data[[#This Row],[Date]],1)</f>
        <v>3</v>
      </c>
      <c r="C841" s="15">
        <f>YEAR(Data[[#This Row],[Date]])</f>
        <v>2020</v>
      </c>
      <c r="D841" s="5">
        <v>43846</v>
      </c>
      <c r="E841" s="1" t="s">
        <v>117</v>
      </c>
      <c r="F841" s="1">
        <v>30131</v>
      </c>
      <c r="G841" s="1" t="s">
        <v>15</v>
      </c>
      <c r="H841" s="1" t="s">
        <v>113</v>
      </c>
      <c r="I841" s="1" t="s">
        <v>1</v>
      </c>
      <c r="J841" s="1">
        <v>10</v>
      </c>
      <c r="K841" s="1">
        <f>J841*(IF(I841=ProdFam[[#Headers],[Test]],(VLOOKUP(Data[[#This Row],[Product Family]],ProdFam[],3,FALSE)),(VLOOKUP(Data[[#This Row],[Product Family]],ProdFam[],2,FALSE))))</f>
        <v>320</v>
      </c>
      <c r="L841" s="1">
        <v>39</v>
      </c>
      <c r="M841" s="1">
        <v>0</v>
      </c>
      <c r="N841" s="7" t="str">
        <f>IFERROR(Data[[#This Row],[Actual Time]]/Data[[#This Row],[QTY Complete]],"")</f>
        <v/>
      </c>
      <c r="O841" s="7">
        <f>IF(I841=ProdFam[[#Headers],[Test]],(VLOOKUP(Data[[#This Row],[Product Family]],ProdFam[],3,FALSE)),(VLOOKUP(Data[[#This Row],[Product Family]],ProdFam[],2,FALSE)))</f>
        <v>32</v>
      </c>
    </row>
    <row r="842" spans="2:15" x14ac:dyDescent="0.25">
      <c r="B842" s="1">
        <f>WEEKNUM(Data[[#This Row],[Date]],1)</f>
        <v>3</v>
      </c>
      <c r="C842" s="15">
        <f>YEAR(Data[[#This Row],[Date]])</f>
        <v>2020</v>
      </c>
      <c r="D842" s="5">
        <v>43846</v>
      </c>
      <c r="E842" s="1" t="s">
        <v>117</v>
      </c>
      <c r="F842" s="1">
        <v>30142</v>
      </c>
      <c r="G842" s="1" t="s">
        <v>167</v>
      </c>
      <c r="H842" s="1" t="s">
        <v>113</v>
      </c>
      <c r="I842" s="1" t="s">
        <v>1</v>
      </c>
      <c r="J842" s="1">
        <v>2</v>
      </c>
      <c r="K842" s="1">
        <f>J842*(IF(I842=ProdFam[[#Headers],[Test]],(VLOOKUP(Data[[#This Row],[Product Family]],ProdFam[],3,FALSE)),(VLOOKUP(Data[[#This Row],[Product Family]],ProdFam[],2,FALSE))))</f>
        <v>64</v>
      </c>
      <c r="L842" s="1">
        <v>19</v>
      </c>
      <c r="M842" s="1">
        <v>0</v>
      </c>
      <c r="N842" s="7" t="str">
        <f>IFERROR(Data[[#This Row],[Actual Time]]/Data[[#This Row],[QTY Complete]],"")</f>
        <v/>
      </c>
      <c r="O842" s="7">
        <f>IF(I842=ProdFam[[#Headers],[Test]],(VLOOKUP(Data[[#This Row],[Product Family]],ProdFam[],3,FALSE)),(VLOOKUP(Data[[#This Row],[Product Family]],ProdFam[],2,FALSE)))</f>
        <v>32</v>
      </c>
    </row>
    <row r="843" spans="2:15" x14ac:dyDescent="0.25">
      <c r="B843" s="1">
        <f>WEEKNUM(Data[[#This Row],[Date]],1)</f>
        <v>3</v>
      </c>
      <c r="C843" s="15">
        <f>YEAR(Data[[#This Row],[Date]])</f>
        <v>2020</v>
      </c>
      <c r="D843" s="5">
        <v>43846</v>
      </c>
      <c r="E843" s="1" t="s">
        <v>117</v>
      </c>
      <c r="F843" s="1">
        <v>30136</v>
      </c>
      <c r="G843" s="1" t="s">
        <v>41</v>
      </c>
      <c r="H843" s="1" t="s">
        <v>113</v>
      </c>
      <c r="I843" s="1" t="s">
        <v>1</v>
      </c>
      <c r="J843" s="1">
        <v>1</v>
      </c>
      <c r="K843" s="1">
        <f>J843*(IF(I843=ProdFam[[#Headers],[Test]],(VLOOKUP(Data[[#This Row],[Product Family]],ProdFam[],3,FALSE)),(VLOOKUP(Data[[#This Row],[Product Family]],ProdFam[],2,FALSE))))</f>
        <v>32</v>
      </c>
      <c r="L843" s="1">
        <v>14</v>
      </c>
      <c r="M843" s="1">
        <v>0</v>
      </c>
      <c r="N843" s="7" t="str">
        <f>IFERROR(Data[[#This Row],[Actual Time]]/Data[[#This Row],[QTY Complete]],"")</f>
        <v/>
      </c>
      <c r="O843" s="7">
        <f>IF(I843=ProdFam[[#Headers],[Test]],(VLOOKUP(Data[[#This Row],[Product Family]],ProdFam[],3,FALSE)),(VLOOKUP(Data[[#This Row],[Product Family]],ProdFam[],2,FALSE)))</f>
        <v>32</v>
      </c>
    </row>
    <row r="844" spans="2:15" x14ac:dyDescent="0.25">
      <c r="B844" s="1">
        <f>WEEKNUM(Data[[#This Row],[Date]],1)</f>
        <v>3</v>
      </c>
      <c r="C844" s="15">
        <f>YEAR(Data[[#This Row],[Date]])</f>
        <v>2020</v>
      </c>
      <c r="D844" s="5">
        <v>43846</v>
      </c>
      <c r="E844" s="1" t="s">
        <v>117</v>
      </c>
      <c r="F844" s="1">
        <v>30145</v>
      </c>
      <c r="G844" s="1" t="s">
        <v>170</v>
      </c>
      <c r="H844" s="1" t="s">
        <v>113</v>
      </c>
      <c r="I844" s="1" t="s">
        <v>1</v>
      </c>
      <c r="J844" s="1">
        <v>7</v>
      </c>
      <c r="K844" s="1">
        <f>J844*(IF(I844=ProdFam[[#Headers],[Test]],(VLOOKUP(Data[[#This Row],[Product Family]],ProdFam[],3,FALSE)),(VLOOKUP(Data[[#This Row],[Product Family]],ProdFam[],2,FALSE))))</f>
        <v>224</v>
      </c>
      <c r="L844" s="1">
        <v>160</v>
      </c>
      <c r="M844" s="1">
        <v>6</v>
      </c>
      <c r="N844" s="7">
        <f>IFERROR(Data[[#This Row],[Actual Time]]/Data[[#This Row],[QTY Complete]],"")</f>
        <v>26.666666666666668</v>
      </c>
      <c r="O844" s="7">
        <f>IF(I844=ProdFam[[#Headers],[Test]],(VLOOKUP(Data[[#This Row],[Product Family]],ProdFam[],3,FALSE)),(VLOOKUP(Data[[#This Row],[Product Family]],ProdFam[],2,FALSE)))</f>
        <v>32</v>
      </c>
    </row>
    <row r="845" spans="2:15" x14ac:dyDescent="0.25">
      <c r="B845" s="1">
        <f>WEEKNUM(Data[[#This Row],[Date]],1)</f>
        <v>3</v>
      </c>
      <c r="C845" s="15">
        <f>YEAR(Data[[#This Row],[Date]])</f>
        <v>2020</v>
      </c>
      <c r="D845" s="5">
        <v>43846</v>
      </c>
      <c r="E845" s="1" t="s">
        <v>117</v>
      </c>
      <c r="F845" s="1">
        <v>30141</v>
      </c>
      <c r="G845" s="1" t="s">
        <v>17</v>
      </c>
      <c r="H845" s="1" t="s">
        <v>113</v>
      </c>
      <c r="I845" s="1" t="s">
        <v>1</v>
      </c>
      <c r="J845" s="1">
        <v>1</v>
      </c>
      <c r="K845" s="1">
        <f>J845*(IF(I845=ProdFam[[#Headers],[Test]],(VLOOKUP(Data[[#This Row],[Product Family]],ProdFam[],3,FALSE)),(VLOOKUP(Data[[#This Row],[Product Family]],ProdFam[],2,FALSE))))</f>
        <v>32</v>
      </c>
      <c r="L845" s="1">
        <v>18</v>
      </c>
      <c r="M845" s="1">
        <v>1</v>
      </c>
      <c r="N845" s="7">
        <f>IFERROR(Data[[#This Row],[Actual Time]]/Data[[#This Row],[QTY Complete]],"")</f>
        <v>18</v>
      </c>
      <c r="O845" s="7">
        <f>IF(I845=ProdFam[[#Headers],[Test]],(VLOOKUP(Data[[#This Row],[Product Family]],ProdFam[],3,FALSE)),(VLOOKUP(Data[[#This Row],[Product Family]],ProdFam[],2,FALSE)))</f>
        <v>32</v>
      </c>
    </row>
    <row r="846" spans="2:15" x14ac:dyDescent="0.25">
      <c r="B846" s="1">
        <f>WEEKNUM(Data[[#This Row],[Date]],1)</f>
        <v>3</v>
      </c>
      <c r="C846" s="15">
        <f>YEAR(Data[[#This Row],[Date]])</f>
        <v>2020</v>
      </c>
      <c r="D846" s="5">
        <v>43846</v>
      </c>
      <c r="E846" s="1" t="s">
        <v>117</v>
      </c>
      <c r="F846" s="1">
        <v>29525</v>
      </c>
      <c r="G846" s="1" t="s">
        <v>71</v>
      </c>
      <c r="H846" s="1" t="s">
        <v>115</v>
      </c>
      <c r="I846" s="1" t="s">
        <v>1</v>
      </c>
      <c r="J846" s="1">
        <v>1</v>
      </c>
      <c r="K846" s="1">
        <f>J846*(IF(I846=ProdFam[[#Headers],[Test]],(VLOOKUP(Data[[#This Row],[Product Family]],ProdFam[],3,FALSE)),(VLOOKUP(Data[[#This Row],[Product Family]],ProdFam[],2,FALSE))))</f>
        <v>24</v>
      </c>
      <c r="L846" s="1">
        <v>55</v>
      </c>
      <c r="M846" s="1">
        <v>1</v>
      </c>
      <c r="N846" s="7">
        <f>IFERROR(Data[[#This Row],[Actual Time]]/Data[[#This Row],[QTY Complete]],"")</f>
        <v>55</v>
      </c>
      <c r="O846" s="7">
        <f>IF(I846=ProdFam[[#Headers],[Test]],(VLOOKUP(Data[[#This Row],[Product Family]],ProdFam[],3,FALSE)),(VLOOKUP(Data[[#This Row],[Product Family]],ProdFam[],2,FALSE)))</f>
        <v>24</v>
      </c>
    </row>
    <row r="847" spans="2:15" x14ac:dyDescent="0.25">
      <c r="B847" s="1">
        <f>WEEKNUM(Data[[#This Row],[Date]],1)</f>
        <v>3</v>
      </c>
      <c r="C847" s="15">
        <v>2020</v>
      </c>
      <c r="D847" s="5">
        <v>43846</v>
      </c>
      <c r="E847" s="1" t="s">
        <v>128</v>
      </c>
      <c r="F847" s="1">
        <v>30070</v>
      </c>
      <c r="G847" s="1" t="s">
        <v>8</v>
      </c>
      <c r="H847" s="1" t="s">
        <v>112</v>
      </c>
      <c r="I847" s="1" t="s">
        <v>0</v>
      </c>
      <c r="J847" s="1">
        <v>19</v>
      </c>
      <c r="L847" s="1">
        <v>83</v>
      </c>
      <c r="M847" s="1">
        <v>6</v>
      </c>
      <c r="N847" s="7">
        <f>IFERROR(Data[[#This Row],[Actual Time]]/Data[[#This Row],[QTY Complete]],"")</f>
        <v>13.833333333333334</v>
      </c>
      <c r="O847" s="7">
        <f>IF(I847=ProdFam[[#Headers],[Test]],(VLOOKUP(Data[[#This Row],[Product Family]],ProdFam[],3,FALSE)),(VLOOKUP(Data[[#This Row],[Product Family]],ProdFam[],2,FALSE)))</f>
        <v>10</v>
      </c>
    </row>
    <row r="848" spans="2:15" x14ac:dyDescent="0.25">
      <c r="B848" s="1">
        <f>WEEKNUM(Data[[#This Row],[Date]],1)</f>
        <v>3</v>
      </c>
      <c r="C848" s="15">
        <f>YEAR(Data[[#This Row],[Date]])</f>
        <v>2020</v>
      </c>
      <c r="D848" s="5">
        <v>43846</v>
      </c>
      <c r="E848" s="1" t="s">
        <v>128</v>
      </c>
      <c r="F848" s="1">
        <v>63519</v>
      </c>
      <c r="G848" s="1" t="s">
        <v>25</v>
      </c>
      <c r="H848" s="1" t="s">
        <v>162</v>
      </c>
      <c r="I848" s="1" t="s">
        <v>0</v>
      </c>
      <c r="J848" s="1">
        <v>1</v>
      </c>
      <c r="K848" s="1">
        <f>J848*(IF(I848=ProdFam[[#Headers],[Test]],(VLOOKUP(Data[[#This Row],[Product Family]],ProdFam[],3,FALSE)),(VLOOKUP(Data[[#This Row],[Product Family]],ProdFam[],2,FALSE))))</f>
        <v>10</v>
      </c>
      <c r="L848" s="1">
        <v>8</v>
      </c>
      <c r="M848" s="1">
        <v>1</v>
      </c>
      <c r="N848" s="7">
        <f>IFERROR(Data[[#This Row],[Actual Time]]/Data[[#This Row],[QTY Complete]],"")</f>
        <v>8</v>
      </c>
      <c r="O848" s="7">
        <f>IF(I848=ProdFam[[#Headers],[Test]],(VLOOKUP(Data[[#This Row],[Product Family]],ProdFam[],3,FALSE)),(VLOOKUP(Data[[#This Row],[Product Family]],ProdFam[],2,FALSE)))</f>
        <v>10</v>
      </c>
    </row>
    <row r="849" spans="2:15" x14ac:dyDescent="0.25">
      <c r="B849" s="1">
        <f>WEEKNUM(Data[[#This Row],[Date]],1)</f>
        <v>3</v>
      </c>
      <c r="C849" s="15">
        <f>YEAR(Data[[#This Row],[Date]])</f>
        <v>2020</v>
      </c>
      <c r="D849" s="5">
        <v>43846</v>
      </c>
      <c r="E849" s="1" t="s">
        <v>128</v>
      </c>
      <c r="F849" s="1">
        <v>62949</v>
      </c>
      <c r="G849" s="1" t="s">
        <v>50</v>
      </c>
      <c r="H849" s="1" t="s">
        <v>162</v>
      </c>
      <c r="I849" s="1" t="s">
        <v>0</v>
      </c>
      <c r="J849" s="1">
        <v>1</v>
      </c>
      <c r="K849" s="1">
        <f>J849*(IF(I849=ProdFam[[#Headers],[Test]],(VLOOKUP(Data[[#This Row],[Product Family]],ProdFam[],3,FALSE)),(VLOOKUP(Data[[#This Row],[Product Family]],ProdFam[],2,FALSE))))</f>
        <v>10</v>
      </c>
      <c r="L849" s="1">
        <v>11</v>
      </c>
      <c r="M849" s="1">
        <v>1</v>
      </c>
      <c r="N849" s="7">
        <f>IFERROR(Data[[#This Row],[Actual Time]]/Data[[#This Row],[QTY Complete]],"")</f>
        <v>11</v>
      </c>
      <c r="O849" s="7">
        <f>IF(I849=ProdFam[[#Headers],[Test]],(VLOOKUP(Data[[#This Row],[Product Family]],ProdFam[],3,FALSE)),(VLOOKUP(Data[[#This Row],[Product Family]],ProdFam[],2,FALSE)))</f>
        <v>10</v>
      </c>
    </row>
    <row r="850" spans="2:15" x14ac:dyDescent="0.25">
      <c r="B850" s="1">
        <f>WEEKNUM(Data[[#This Row],[Date]],1)</f>
        <v>3</v>
      </c>
      <c r="C850" s="15">
        <f>YEAR(Data[[#This Row],[Date]])</f>
        <v>2020</v>
      </c>
      <c r="D850" s="5">
        <v>43846</v>
      </c>
      <c r="E850" s="1" t="s">
        <v>128</v>
      </c>
      <c r="F850" s="1">
        <v>30070</v>
      </c>
      <c r="G850" s="1" t="s">
        <v>8</v>
      </c>
      <c r="H850" s="1" t="s">
        <v>112</v>
      </c>
      <c r="I850" s="1" t="s">
        <v>0</v>
      </c>
      <c r="J850" s="1">
        <v>10</v>
      </c>
      <c r="K850" s="1">
        <f>J850*(IF(I850=ProdFam[[#Headers],[Test]],(VLOOKUP(Data[[#This Row],[Product Family]],ProdFam[],3,FALSE)),(VLOOKUP(Data[[#This Row],[Product Family]],ProdFam[],2,FALSE))))</f>
        <v>100</v>
      </c>
      <c r="L850" s="1">
        <v>208</v>
      </c>
      <c r="M850" s="1">
        <v>10</v>
      </c>
      <c r="N850" s="7">
        <f>IFERROR(Data[[#This Row],[Actual Time]]/Data[[#This Row],[QTY Complete]],"")</f>
        <v>20.8</v>
      </c>
      <c r="O850" s="7">
        <f>IF(I850=ProdFam[[#Headers],[Test]],(VLOOKUP(Data[[#This Row],[Product Family]],ProdFam[],3,FALSE)),(VLOOKUP(Data[[#This Row],[Product Family]],ProdFam[],2,FALSE)))</f>
        <v>10</v>
      </c>
    </row>
    <row r="851" spans="2:15" x14ac:dyDescent="0.25">
      <c r="B851" s="1">
        <f>WEEKNUM(Data[[#This Row],[Date]],1)</f>
        <v>3</v>
      </c>
      <c r="C851" s="15">
        <f>YEAR(Data[[#This Row],[Date]])</f>
        <v>2020</v>
      </c>
      <c r="D851" s="5">
        <v>43846</v>
      </c>
      <c r="E851" s="1" t="s">
        <v>128</v>
      </c>
      <c r="F851" s="1">
        <v>30223</v>
      </c>
      <c r="G851" s="1" t="s">
        <v>171</v>
      </c>
      <c r="H851" s="1" t="s">
        <v>116</v>
      </c>
      <c r="I851" s="1" t="s">
        <v>0</v>
      </c>
      <c r="J851" s="1">
        <v>5</v>
      </c>
      <c r="L851" s="1">
        <v>120</v>
      </c>
      <c r="M851" s="1">
        <v>5</v>
      </c>
      <c r="N851" s="7">
        <f>IFERROR(Data[[#This Row],[Actual Time]]/Data[[#This Row],[QTY Complete]],"")</f>
        <v>24</v>
      </c>
      <c r="O851" s="7">
        <f>IF(I851=ProdFam[[#Headers],[Test]],(VLOOKUP(Data[[#This Row],[Product Family]],ProdFam[],3,FALSE)),(VLOOKUP(Data[[#This Row],[Product Family]],ProdFam[],2,FALSE)))</f>
        <v>5</v>
      </c>
    </row>
    <row r="852" spans="2:15" x14ac:dyDescent="0.25">
      <c r="B852" s="1">
        <f>WEEKNUM(Data[[#This Row],[Date]],1)</f>
        <v>3</v>
      </c>
      <c r="C852" s="15">
        <f>YEAR(Data[[#This Row],[Date]])</f>
        <v>2020</v>
      </c>
      <c r="D852" s="5">
        <v>43846</v>
      </c>
      <c r="E852" s="1" t="s">
        <v>128</v>
      </c>
      <c r="F852" s="1">
        <v>30290</v>
      </c>
      <c r="G852" s="1" t="s">
        <v>166</v>
      </c>
      <c r="H852" s="1" t="s">
        <v>162</v>
      </c>
      <c r="I852" s="1" t="s">
        <v>0</v>
      </c>
      <c r="J852" s="1">
        <v>1</v>
      </c>
      <c r="K852" s="1">
        <f>J852*(IF(I852=ProdFam[[#Headers],[Test]],(VLOOKUP(Data[[#This Row],[Product Family]],ProdFam[],3,FALSE)),(VLOOKUP(Data[[#This Row],[Product Family]],ProdFam[],2,FALSE))))</f>
        <v>10</v>
      </c>
      <c r="L852" s="1">
        <v>12</v>
      </c>
      <c r="M852" s="1">
        <v>1</v>
      </c>
      <c r="N852" s="7">
        <f>IFERROR(Data[[#This Row],[Actual Time]]/Data[[#This Row],[QTY Complete]],"")</f>
        <v>12</v>
      </c>
      <c r="O852" s="7">
        <f>IF(I852=ProdFam[[#Headers],[Test]],(VLOOKUP(Data[[#This Row],[Product Family]],ProdFam[],3,FALSE)),(VLOOKUP(Data[[#This Row],[Product Family]],ProdFam[],2,FALSE)))</f>
        <v>10</v>
      </c>
    </row>
    <row r="853" spans="2:15" x14ac:dyDescent="0.25">
      <c r="B853" s="1">
        <f>WEEKNUM(Data[[#This Row],[Date]],1)</f>
        <v>3</v>
      </c>
      <c r="C853" s="15">
        <f>YEAR(Data[[#This Row],[Date]])</f>
        <v>2020</v>
      </c>
      <c r="D853" s="5">
        <v>43846</v>
      </c>
      <c r="E853" s="1" t="s">
        <v>128</v>
      </c>
      <c r="F853" s="1">
        <v>63314</v>
      </c>
      <c r="G853" s="1" t="s">
        <v>4</v>
      </c>
      <c r="H853" s="1" t="s">
        <v>162</v>
      </c>
      <c r="I853" s="1" t="s">
        <v>0</v>
      </c>
      <c r="J853" s="1">
        <v>6</v>
      </c>
      <c r="K853" s="1">
        <f>J853*(IF(I853=ProdFam[[#Headers],[Test]],(VLOOKUP(Data[[#This Row],[Product Family]],ProdFam[],3,FALSE)),(VLOOKUP(Data[[#This Row],[Product Family]],ProdFam[],2,FALSE))))</f>
        <v>60</v>
      </c>
      <c r="L853" s="1">
        <v>64</v>
      </c>
      <c r="M853" s="1">
        <v>6</v>
      </c>
      <c r="N853" s="7">
        <f>IFERROR(Data[[#This Row],[Actual Time]]/Data[[#This Row],[QTY Complete]],"")</f>
        <v>10.666666666666666</v>
      </c>
      <c r="O853" s="7">
        <f>IF(I853=ProdFam[[#Headers],[Test]],(VLOOKUP(Data[[#This Row],[Product Family]],ProdFam[],3,FALSE)),(VLOOKUP(Data[[#This Row],[Product Family]],ProdFam[],2,FALSE)))</f>
        <v>10</v>
      </c>
    </row>
    <row r="854" spans="2:15" x14ac:dyDescent="0.25">
      <c r="B854" s="1">
        <f>WEEKNUM(Data[[#This Row],[Date]],1)</f>
        <v>3</v>
      </c>
      <c r="C854" s="15">
        <f>YEAR(Data[[#This Row],[Date]])</f>
        <v>2020</v>
      </c>
      <c r="D854" s="5">
        <v>43846</v>
      </c>
      <c r="E854" s="1" t="s">
        <v>128</v>
      </c>
      <c r="F854" s="1">
        <v>63911</v>
      </c>
      <c r="G854" s="1" t="s">
        <v>17</v>
      </c>
      <c r="H854" s="1" t="s">
        <v>162</v>
      </c>
      <c r="I854" s="1" t="s">
        <v>0</v>
      </c>
      <c r="J854" s="1">
        <v>1</v>
      </c>
      <c r="K854" s="1">
        <f>J854*(IF(I854=ProdFam[[#Headers],[Test]],(VLOOKUP(Data[[#This Row],[Product Family]],ProdFam[],3,FALSE)),(VLOOKUP(Data[[#This Row],[Product Family]],ProdFam[],2,FALSE))))</f>
        <v>10</v>
      </c>
      <c r="L854" s="1">
        <v>12</v>
      </c>
      <c r="M854" s="1">
        <v>1</v>
      </c>
      <c r="N854" s="7">
        <f>IFERROR(Data[[#This Row],[Actual Time]]/Data[[#This Row],[QTY Complete]],"")</f>
        <v>12</v>
      </c>
      <c r="O854" s="7">
        <f>IF(I854=ProdFam[[#Headers],[Test]],(VLOOKUP(Data[[#This Row],[Product Family]],ProdFam[],3,FALSE)),(VLOOKUP(Data[[#This Row],[Product Family]],ProdFam[],2,FALSE)))</f>
        <v>10</v>
      </c>
    </row>
    <row r="855" spans="2:15" x14ac:dyDescent="0.25">
      <c r="B855" s="1">
        <f>WEEKNUM(Data[[#This Row],[Date]],1)</f>
        <v>3</v>
      </c>
      <c r="C855" s="15">
        <f>YEAR(Data[[#This Row],[Date]])</f>
        <v>2020</v>
      </c>
      <c r="D855" s="5">
        <v>43846</v>
      </c>
      <c r="E855" s="1" t="s">
        <v>128</v>
      </c>
      <c r="F855" s="1">
        <v>30171</v>
      </c>
      <c r="G855" s="1" t="s">
        <v>172</v>
      </c>
      <c r="H855" s="1" t="s">
        <v>162</v>
      </c>
      <c r="I855" s="1" t="s">
        <v>0</v>
      </c>
      <c r="J855" s="1">
        <v>3</v>
      </c>
      <c r="K855" s="1">
        <f>J855*(IF(I855=ProdFam[[#Headers],[Test]],(VLOOKUP(Data[[#This Row],[Product Family]],ProdFam[],3,FALSE)),(VLOOKUP(Data[[#This Row],[Product Family]],ProdFam[],2,FALSE))))</f>
        <v>30</v>
      </c>
      <c r="L855" s="1">
        <v>37</v>
      </c>
      <c r="M855" s="1">
        <v>3</v>
      </c>
      <c r="N855" s="7">
        <f>IFERROR(Data[[#This Row],[Actual Time]]/Data[[#This Row],[QTY Complete]],"")</f>
        <v>12.333333333333334</v>
      </c>
      <c r="O855" s="7">
        <f>IF(I855=ProdFam[[#Headers],[Test]],(VLOOKUP(Data[[#This Row],[Product Family]],ProdFam[],3,FALSE)),(VLOOKUP(Data[[#This Row],[Product Family]],ProdFam[],2,FALSE)))</f>
        <v>10</v>
      </c>
    </row>
    <row r="856" spans="2:15" x14ac:dyDescent="0.25">
      <c r="B856" s="1">
        <f>WEEKNUM(Data[[#This Row],[Date]],1)</f>
        <v>3</v>
      </c>
      <c r="C856" s="15">
        <f>YEAR(Data[[#This Row],[Date]])</f>
        <v>2020</v>
      </c>
      <c r="D856" s="5">
        <v>43846</v>
      </c>
      <c r="E856" s="1" t="s">
        <v>128</v>
      </c>
      <c r="F856" s="1">
        <v>30227</v>
      </c>
      <c r="G856" s="1" t="s">
        <v>173</v>
      </c>
      <c r="H856" s="1" t="s">
        <v>112</v>
      </c>
      <c r="I856" s="1" t="s">
        <v>0</v>
      </c>
      <c r="J856" s="1">
        <v>6</v>
      </c>
      <c r="K856" s="1">
        <f>J856*(IF(I856=ProdFam[[#Headers],[Test]],(VLOOKUP(Data[[#This Row],[Product Family]],ProdFam[],3,FALSE)),(VLOOKUP(Data[[#This Row],[Product Family]],ProdFam[],2,FALSE))))</f>
        <v>60</v>
      </c>
      <c r="L856" s="1">
        <v>24</v>
      </c>
      <c r="M856" s="1">
        <v>6</v>
      </c>
      <c r="N856" s="7">
        <f>IFERROR(Data[[#This Row],[Actual Time]]/Data[[#This Row],[QTY Complete]],"")</f>
        <v>4</v>
      </c>
      <c r="O856" s="7">
        <f>IF(I856=ProdFam[[#Headers],[Test]],(VLOOKUP(Data[[#This Row],[Product Family]],ProdFam[],3,FALSE)),(VLOOKUP(Data[[#This Row],[Product Family]],ProdFam[],2,FALSE)))</f>
        <v>10</v>
      </c>
    </row>
    <row r="857" spans="2:15" x14ac:dyDescent="0.25">
      <c r="B857" s="1">
        <f>WEEKNUM(Data[[#This Row],[Date]],1)</f>
        <v>3</v>
      </c>
      <c r="C857" s="15">
        <f>YEAR(Data[[#This Row],[Date]])</f>
        <v>2020</v>
      </c>
      <c r="D857" s="5">
        <v>43846</v>
      </c>
      <c r="E857" s="1" t="s">
        <v>128</v>
      </c>
      <c r="F857" s="1">
        <v>30285</v>
      </c>
      <c r="G857" s="1" t="s">
        <v>79</v>
      </c>
      <c r="H857" s="1" t="s">
        <v>112</v>
      </c>
      <c r="I857" s="1" t="s">
        <v>0</v>
      </c>
      <c r="J857" s="1">
        <v>3</v>
      </c>
      <c r="K857" s="1">
        <f>J857*(IF(I857=ProdFam[[#Headers],[Test]],(VLOOKUP(Data[[#This Row],[Product Family]],ProdFam[],3,FALSE)),(VLOOKUP(Data[[#This Row],[Product Family]],ProdFam[],2,FALSE))))</f>
        <v>30</v>
      </c>
      <c r="L857" s="1">
        <v>75</v>
      </c>
      <c r="M857" s="1">
        <v>3</v>
      </c>
      <c r="N857" s="7">
        <f>IFERROR(Data[[#This Row],[Actual Time]]/Data[[#This Row],[QTY Complete]],"")</f>
        <v>25</v>
      </c>
      <c r="O857" s="7">
        <f>IF(I857=ProdFam[[#Headers],[Test]],(VLOOKUP(Data[[#This Row],[Product Family]],ProdFam[],3,FALSE)),(VLOOKUP(Data[[#This Row],[Product Family]],ProdFam[],2,FALSE)))</f>
        <v>10</v>
      </c>
    </row>
    <row r="858" spans="2:15" x14ac:dyDescent="0.25">
      <c r="B858" s="1">
        <f>WEEKNUM(Data[[#This Row],[Date]],1)</f>
        <v>3</v>
      </c>
      <c r="C858" s="15">
        <f>YEAR(Data[[#This Row],[Date]])</f>
        <v>2020</v>
      </c>
      <c r="D858" s="5">
        <v>43846</v>
      </c>
      <c r="E858" s="1" t="s">
        <v>128</v>
      </c>
      <c r="F858" s="1">
        <v>30174</v>
      </c>
      <c r="G858" s="1" t="s">
        <v>174</v>
      </c>
      <c r="H858" s="1" t="s">
        <v>112</v>
      </c>
      <c r="I858" s="1" t="s">
        <v>0</v>
      </c>
      <c r="J858" s="1">
        <v>6</v>
      </c>
      <c r="K858" s="1">
        <f>J858*(IF(I858=ProdFam[[#Headers],[Test]],(VLOOKUP(Data[[#This Row],[Product Family]],ProdFam[],3,FALSE)),(VLOOKUP(Data[[#This Row],[Product Family]],ProdFam[],2,FALSE))))</f>
        <v>60</v>
      </c>
      <c r="L858" s="1">
        <v>134</v>
      </c>
      <c r="M858" s="1">
        <v>6</v>
      </c>
      <c r="N858" s="7">
        <f>IFERROR(Data[[#This Row],[Actual Time]]/Data[[#This Row],[QTY Complete]],"")</f>
        <v>22.333333333333332</v>
      </c>
      <c r="O858" s="7">
        <f>IF(I858=ProdFam[[#Headers],[Test]],(VLOOKUP(Data[[#This Row],[Product Family]],ProdFam[],3,FALSE)),(VLOOKUP(Data[[#This Row],[Product Family]],ProdFam[],2,FALSE)))</f>
        <v>10</v>
      </c>
    </row>
    <row r="859" spans="2:15" x14ac:dyDescent="0.25">
      <c r="B859" s="1">
        <f>WEEKNUM(Data[[#This Row],[Date]],1)</f>
        <v>3</v>
      </c>
      <c r="C859" s="15">
        <f>YEAR(Data[[#This Row],[Date]])</f>
        <v>2020</v>
      </c>
      <c r="D859" s="5">
        <v>43846</v>
      </c>
      <c r="E859" s="1" t="s">
        <v>128</v>
      </c>
      <c r="F859" s="1">
        <v>30300</v>
      </c>
      <c r="G859" s="1" t="s">
        <v>175</v>
      </c>
      <c r="H859" s="1" t="s">
        <v>162</v>
      </c>
      <c r="I859" s="1" t="s">
        <v>0</v>
      </c>
      <c r="J859" s="1">
        <v>1</v>
      </c>
      <c r="K859" s="1">
        <f>J859*(IF(I859=ProdFam[[#Headers],[Test]],(VLOOKUP(Data[[#This Row],[Product Family]],ProdFam[],3,FALSE)),(VLOOKUP(Data[[#This Row],[Product Family]],ProdFam[],2,FALSE))))</f>
        <v>10</v>
      </c>
      <c r="L859" s="1">
        <v>15</v>
      </c>
      <c r="M859" s="1">
        <v>1</v>
      </c>
      <c r="N859" s="7">
        <f>IFERROR(Data[[#This Row],[Actual Time]]/Data[[#This Row],[QTY Complete]],"")</f>
        <v>15</v>
      </c>
      <c r="O859" s="7">
        <f>IF(I859=ProdFam[[#Headers],[Test]],(VLOOKUP(Data[[#This Row],[Product Family]],ProdFam[],3,FALSE)),(VLOOKUP(Data[[#This Row],[Product Family]],ProdFam[],2,FALSE)))</f>
        <v>10</v>
      </c>
    </row>
    <row r="860" spans="2:15" x14ac:dyDescent="0.25">
      <c r="B860" s="1">
        <f>WEEKNUM(Data[[#This Row],[Date]],1)</f>
        <v>3</v>
      </c>
      <c r="C860" s="15">
        <f>YEAR(Data[[#This Row],[Date]])</f>
        <v>2020</v>
      </c>
      <c r="D860" s="5">
        <v>43846</v>
      </c>
      <c r="E860" s="1" t="s">
        <v>128</v>
      </c>
      <c r="F860" s="1">
        <v>30288</v>
      </c>
      <c r="G860" s="1" t="s">
        <v>46</v>
      </c>
      <c r="H860" s="1" t="s">
        <v>162</v>
      </c>
      <c r="I860" s="1" t="s">
        <v>0</v>
      </c>
      <c r="J860" s="1">
        <v>1</v>
      </c>
      <c r="K860" s="1">
        <f>J860*(IF(I860=ProdFam[[#Headers],[Test]],(VLOOKUP(Data[[#This Row],[Product Family]],ProdFam[],3,FALSE)),(VLOOKUP(Data[[#This Row],[Product Family]],ProdFam[],2,FALSE))))</f>
        <v>10</v>
      </c>
      <c r="L860" s="1">
        <v>10</v>
      </c>
      <c r="M860" s="1">
        <v>1</v>
      </c>
      <c r="N860" s="7">
        <f>IFERROR(Data[[#This Row],[Actual Time]]/Data[[#This Row],[QTY Complete]],"")</f>
        <v>10</v>
      </c>
      <c r="O860" s="7">
        <f>IF(I860=ProdFam[[#Headers],[Test]],(VLOOKUP(Data[[#This Row],[Product Family]],ProdFam[],3,FALSE)),(VLOOKUP(Data[[#This Row],[Product Family]],ProdFam[],2,FALSE)))</f>
        <v>10</v>
      </c>
    </row>
    <row r="861" spans="2:15" x14ac:dyDescent="0.25">
      <c r="B861" s="1">
        <f>WEEKNUM(Data[[#This Row],[Date]],1)</f>
        <v>3</v>
      </c>
      <c r="C861" s="15">
        <f>YEAR(Data[[#This Row],[Date]])</f>
        <v>2020</v>
      </c>
      <c r="D861" s="5">
        <v>43846</v>
      </c>
      <c r="E861" s="1" t="s">
        <v>128</v>
      </c>
      <c r="F861" s="1">
        <v>64211</v>
      </c>
      <c r="G861" s="1" t="s">
        <v>28</v>
      </c>
      <c r="H861" s="1" t="s">
        <v>162</v>
      </c>
      <c r="I861" s="1" t="s">
        <v>0</v>
      </c>
      <c r="J861" s="1">
        <v>2</v>
      </c>
      <c r="K861" s="1">
        <f>J861*(IF(I861=ProdFam[[#Headers],[Test]],(VLOOKUP(Data[[#This Row],[Product Family]],ProdFam[],3,FALSE)),(VLOOKUP(Data[[#This Row],[Product Family]],ProdFam[],2,FALSE))))</f>
        <v>20</v>
      </c>
      <c r="L861" s="1">
        <v>15</v>
      </c>
      <c r="M861" s="1">
        <v>2</v>
      </c>
      <c r="N861" s="7">
        <f>IFERROR(Data[[#This Row],[Actual Time]]/Data[[#This Row],[QTY Complete]],"")</f>
        <v>7.5</v>
      </c>
      <c r="O861" s="7">
        <f>IF(I861=ProdFam[[#Headers],[Test]],(VLOOKUP(Data[[#This Row],[Product Family]],ProdFam[],3,FALSE)),(VLOOKUP(Data[[#This Row],[Product Family]],ProdFam[],2,FALSE)))</f>
        <v>10</v>
      </c>
    </row>
    <row r="862" spans="2:15" x14ac:dyDescent="0.25">
      <c r="B862" s="1">
        <f>WEEKNUM(Data[[#This Row],[Date]],1)</f>
        <v>3</v>
      </c>
      <c r="C862" s="15">
        <f>YEAR(Data[[#This Row],[Date]])</f>
        <v>2020</v>
      </c>
      <c r="D862" s="5">
        <v>43846</v>
      </c>
      <c r="E862" s="1" t="s">
        <v>128</v>
      </c>
      <c r="F862" s="1">
        <v>30182</v>
      </c>
      <c r="G862" s="1" t="s">
        <v>176</v>
      </c>
      <c r="H862" s="1" t="s">
        <v>112</v>
      </c>
      <c r="I862" s="1" t="s">
        <v>0</v>
      </c>
      <c r="J862" s="1">
        <v>5</v>
      </c>
      <c r="K862" s="1">
        <f>J862*(IF(I862=ProdFam[[#Headers],[Test]],(VLOOKUP(Data[[#This Row],[Product Family]],ProdFam[],3,FALSE)),(VLOOKUP(Data[[#This Row],[Product Family]],ProdFam[],2,FALSE))))</f>
        <v>50</v>
      </c>
      <c r="L862" s="1">
        <v>71</v>
      </c>
      <c r="M862" s="1">
        <v>5</v>
      </c>
      <c r="N862" s="7">
        <f>IFERROR(Data[[#This Row],[Actual Time]]/Data[[#This Row],[QTY Complete]],"")</f>
        <v>14.2</v>
      </c>
      <c r="O862" s="7">
        <f>IF(I862=ProdFam[[#Headers],[Test]],(VLOOKUP(Data[[#This Row],[Product Family]],ProdFam[],3,FALSE)),(VLOOKUP(Data[[#This Row],[Product Family]],ProdFam[],2,FALSE)))</f>
        <v>10</v>
      </c>
    </row>
    <row r="863" spans="2:15" x14ac:dyDescent="0.25">
      <c r="B863" s="1">
        <f>WEEKNUM(Data[[#This Row],[Date]],1)</f>
        <v>3</v>
      </c>
      <c r="C863" s="15">
        <f>YEAR(Data[[#This Row],[Date]])</f>
        <v>2020</v>
      </c>
      <c r="D863" s="5">
        <v>43846</v>
      </c>
      <c r="E863" s="1" t="s">
        <v>128</v>
      </c>
      <c r="F863" s="1">
        <v>63910</v>
      </c>
      <c r="G863" s="1" t="s">
        <v>25</v>
      </c>
      <c r="H863" s="1" t="s">
        <v>112</v>
      </c>
      <c r="I863" s="1" t="s">
        <v>0</v>
      </c>
      <c r="J863" s="1">
        <v>1</v>
      </c>
      <c r="K863" s="1">
        <f>J863*(IF(I863=ProdFam[[#Headers],[Test]],(VLOOKUP(Data[[#This Row],[Product Family]],ProdFam[],3,FALSE)),(VLOOKUP(Data[[#This Row],[Product Family]],ProdFam[],2,FALSE))))</f>
        <v>10</v>
      </c>
      <c r="L863" s="1">
        <v>7</v>
      </c>
      <c r="M863" s="1">
        <v>1</v>
      </c>
      <c r="N863" s="7">
        <f>IFERROR(Data[[#This Row],[Actual Time]]/Data[[#This Row],[QTY Complete]],"")</f>
        <v>7</v>
      </c>
      <c r="O863" s="7">
        <f>IF(I863=ProdFam[[#Headers],[Test]],(VLOOKUP(Data[[#This Row],[Product Family]],ProdFam[],3,FALSE)),(VLOOKUP(Data[[#This Row],[Product Family]],ProdFam[],2,FALSE)))</f>
        <v>10</v>
      </c>
    </row>
    <row r="864" spans="2:15" x14ac:dyDescent="0.25">
      <c r="B864" s="1">
        <f>WEEKNUM(Data[[#This Row],[Date]],1)</f>
        <v>3</v>
      </c>
      <c r="C864" s="15">
        <f>YEAR(Data[[#This Row],[Date]])</f>
        <v>2020</v>
      </c>
      <c r="D864" s="5">
        <v>43846</v>
      </c>
      <c r="E864" s="1" t="s">
        <v>128</v>
      </c>
      <c r="F864" s="1">
        <v>64152</v>
      </c>
      <c r="G864" s="1" t="s">
        <v>25</v>
      </c>
      <c r="H864" s="1" t="s">
        <v>112</v>
      </c>
      <c r="I864" s="1" t="s">
        <v>0</v>
      </c>
      <c r="J864" s="1">
        <v>1</v>
      </c>
      <c r="K864" s="1">
        <f>J864*(IF(I864=ProdFam[[#Headers],[Test]],(VLOOKUP(Data[[#This Row],[Product Family]],ProdFam[],3,FALSE)),(VLOOKUP(Data[[#This Row],[Product Family]],ProdFam[],2,FALSE))))</f>
        <v>10</v>
      </c>
      <c r="L864" s="1">
        <v>12</v>
      </c>
      <c r="M864" s="1">
        <v>1</v>
      </c>
      <c r="N864" s="7">
        <f>IFERROR(Data[[#This Row],[Actual Time]]/Data[[#This Row],[QTY Complete]],"")</f>
        <v>12</v>
      </c>
      <c r="O864" s="7">
        <f>IF(I864=ProdFam[[#Headers],[Test]],(VLOOKUP(Data[[#This Row],[Product Family]],ProdFam[],3,FALSE)),(VLOOKUP(Data[[#This Row],[Product Family]],ProdFam[],2,FALSE)))</f>
        <v>10</v>
      </c>
    </row>
    <row r="865" spans="2:15" x14ac:dyDescent="0.25">
      <c r="B865" s="1">
        <f>WEEKNUM(Data[[#This Row],[Date]],1)</f>
        <v>3</v>
      </c>
      <c r="C865" s="15">
        <f>YEAR(Data[[#This Row],[Date]])</f>
        <v>2020</v>
      </c>
      <c r="D865" s="5">
        <v>43846</v>
      </c>
      <c r="E865" s="1" t="s">
        <v>128</v>
      </c>
      <c r="F865" s="1">
        <v>64244</v>
      </c>
      <c r="G865" s="1" t="s">
        <v>25</v>
      </c>
      <c r="H865" s="1" t="s">
        <v>112</v>
      </c>
      <c r="I865" s="1" t="s">
        <v>0</v>
      </c>
      <c r="J865" s="1">
        <v>4</v>
      </c>
      <c r="K865" s="1">
        <f>J865*(IF(I865=ProdFam[[#Headers],[Test]],(VLOOKUP(Data[[#This Row],[Product Family]],ProdFam[],3,FALSE)),(VLOOKUP(Data[[#This Row],[Product Family]],ProdFam[],2,FALSE))))</f>
        <v>40</v>
      </c>
      <c r="L865" s="1">
        <v>34</v>
      </c>
      <c r="M865" s="1">
        <v>4</v>
      </c>
      <c r="N865" s="7">
        <f>IFERROR(Data[[#This Row],[Actual Time]]/Data[[#This Row],[QTY Complete]],"")</f>
        <v>8.5</v>
      </c>
      <c r="O865" s="7">
        <f>IF(I865=ProdFam[[#Headers],[Test]],(VLOOKUP(Data[[#This Row],[Product Family]],ProdFam[],3,FALSE)),(VLOOKUP(Data[[#This Row],[Product Family]],ProdFam[],2,FALSE)))</f>
        <v>10</v>
      </c>
    </row>
    <row r="866" spans="2:15" x14ac:dyDescent="0.25">
      <c r="B866" s="1">
        <f>WEEKNUM(Data[[#This Row],[Date]],1)</f>
        <v>3</v>
      </c>
      <c r="C866" s="15">
        <f>YEAR(Data[[#This Row],[Date]])</f>
        <v>2020</v>
      </c>
      <c r="D866" s="5">
        <v>43846</v>
      </c>
      <c r="E866" s="1" t="s">
        <v>128</v>
      </c>
      <c r="F866" s="1">
        <v>64266</v>
      </c>
      <c r="G866" s="1" t="s">
        <v>50</v>
      </c>
      <c r="H866" s="1" t="s">
        <v>112</v>
      </c>
      <c r="I866" s="1" t="s">
        <v>0</v>
      </c>
      <c r="J866" s="1">
        <v>1</v>
      </c>
      <c r="K866" s="1">
        <f>J866*(IF(I866=ProdFam[[#Headers],[Test]],(VLOOKUP(Data[[#This Row],[Product Family]],ProdFam[],3,FALSE)),(VLOOKUP(Data[[#This Row],[Product Family]],ProdFam[],2,FALSE))))</f>
        <v>10</v>
      </c>
      <c r="L866" s="1">
        <v>10</v>
      </c>
      <c r="M866" s="1">
        <v>1</v>
      </c>
      <c r="N866" s="7">
        <f>IFERROR(Data[[#This Row],[Actual Time]]/Data[[#This Row],[QTY Complete]],"")</f>
        <v>10</v>
      </c>
      <c r="O866" s="7">
        <f>IF(I866=ProdFam[[#Headers],[Test]],(VLOOKUP(Data[[#This Row],[Product Family]],ProdFam[],3,FALSE)),(VLOOKUP(Data[[#This Row],[Product Family]],ProdFam[],2,FALSE)))</f>
        <v>10</v>
      </c>
    </row>
    <row r="867" spans="2:15" x14ac:dyDescent="0.25">
      <c r="B867" s="1">
        <f>WEEKNUM(Data[[#This Row],[Date]],1)</f>
        <v>3</v>
      </c>
      <c r="C867" s="15">
        <f>YEAR(Data[[#This Row],[Date]])</f>
        <v>2020</v>
      </c>
      <c r="D867" s="5">
        <v>43846</v>
      </c>
      <c r="E867" s="1" t="s">
        <v>128</v>
      </c>
      <c r="F867" s="1">
        <v>65226</v>
      </c>
      <c r="G867" s="1" t="s">
        <v>25</v>
      </c>
      <c r="H867" s="1" t="s">
        <v>112</v>
      </c>
      <c r="I867" s="1" t="s">
        <v>0</v>
      </c>
      <c r="J867" s="1">
        <v>1</v>
      </c>
      <c r="K867" s="1">
        <f>J867*(IF(I867=ProdFam[[#Headers],[Test]],(VLOOKUP(Data[[#This Row],[Product Family]],ProdFam[],3,FALSE)),(VLOOKUP(Data[[#This Row],[Product Family]],ProdFam[],2,FALSE))))</f>
        <v>10</v>
      </c>
      <c r="L867" s="1">
        <v>4</v>
      </c>
      <c r="M867" s="1">
        <v>1</v>
      </c>
      <c r="N867" s="7">
        <f>IFERROR(Data[[#This Row],[Actual Time]]/Data[[#This Row],[QTY Complete]],"")</f>
        <v>4</v>
      </c>
      <c r="O867" s="7">
        <f>IF(I867=ProdFam[[#Headers],[Test]],(VLOOKUP(Data[[#This Row],[Product Family]],ProdFam[],3,FALSE)),(VLOOKUP(Data[[#This Row],[Product Family]],ProdFam[],2,FALSE)))</f>
        <v>10</v>
      </c>
    </row>
    <row r="868" spans="2:15" x14ac:dyDescent="0.25">
      <c r="B868" s="1">
        <f>WEEKNUM(Data[[#This Row],[Date]],1)</f>
        <v>3</v>
      </c>
      <c r="C868" s="15">
        <f>YEAR(Data[[#This Row],[Date]])</f>
        <v>2020</v>
      </c>
      <c r="D868" s="5">
        <v>43846</v>
      </c>
      <c r="E868" s="1" t="s">
        <v>128</v>
      </c>
      <c r="F868" s="1">
        <v>63365</v>
      </c>
      <c r="G868" s="1" t="s">
        <v>29</v>
      </c>
      <c r="H868" s="1" t="s">
        <v>112</v>
      </c>
      <c r="I868" s="1" t="s">
        <v>0</v>
      </c>
      <c r="J868" s="1">
        <v>1</v>
      </c>
      <c r="K868" s="1">
        <f>J868*(IF(I868=ProdFam[[#Headers],[Test]],(VLOOKUP(Data[[#This Row],[Product Family]],ProdFam[],3,FALSE)),(VLOOKUP(Data[[#This Row],[Product Family]],ProdFam[],2,FALSE))))</f>
        <v>10</v>
      </c>
      <c r="L868" s="1">
        <v>4</v>
      </c>
      <c r="M868" s="1">
        <v>1</v>
      </c>
      <c r="N868" s="7">
        <f>IFERROR(Data[[#This Row],[Actual Time]]/Data[[#This Row],[QTY Complete]],"")</f>
        <v>4</v>
      </c>
      <c r="O868" s="7">
        <f>IF(I868=ProdFam[[#Headers],[Test]],(VLOOKUP(Data[[#This Row],[Product Family]],ProdFam[],3,FALSE)),(VLOOKUP(Data[[#This Row],[Product Family]],ProdFam[],2,FALSE)))</f>
        <v>10</v>
      </c>
    </row>
    <row r="869" spans="2:15" x14ac:dyDescent="0.25">
      <c r="B869" s="1">
        <f>WEEKNUM(Data[[#This Row],[Date]],1)</f>
        <v>3</v>
      </c>
      <c r="C869" s="15">
        <f>YEAR(Data[[#This Row],[Date]])</f>
        <v>2020</v>
      </c>
      <c r="D869" s="5">
        <v>43846</v>
      </c>
      <c r="E869" s="1" t="s">
        <v>128</v>
      </c>
      <c r="F869" s="1">
        <v>30222</v>
      </c>
      <c r="G869" s="1" t="s">
        <v>47</v>
      </c>
      <c r="H869" s="1" t="s">
        <v>112</v>
      </c>
      <c r="I869" s="1" t="s">
        <v>0</v>
      </c>
      <c r="J869" s="1">
        <v>1</v>
      </c>
      <c r="K869" s="1">
        <f>J869*(IF(I869=ProdFam[[#Headers],[Test]],(VLOOKUP(Data[[#This Row],[Product Family]],ProdFam[],3,FALSE)),(VLOOKUP(Data[[#This Row],[Product Family]],ProdFam[],2,FALSE))))</f>
        <v>10</v>
      </c>
      <c r="L869" s="1">
        <v>18</v>
      </c>
      <c r="M869" s="1">
        <v>1</v>
      </c>
      <c r="N869" s="7">
        <f>IFERROR(Data[[#This Row],[Actual Time]]/Data[[#This Row],[QTY Complete]],"")</f>
        <v>18</v>
      </c>
      <c r="O869" s="7">
        <f>IF(I869=ProdFam[[#Headers],[Test]],(VLOOKUP(Data[[#This Row],[Product Family]],ProdFam[],3,FALSE)),(VLOOKUP(Data[[#This Row],[Product Family]],ProdFam[],2,FALSE)))</f>
        <v>10</v>
      </c>
    </row>
    <row r="870" spans="2:15" x14ac:dyDescent="0.25">
      <c r="B870" s="1">
        <f>WEEKNUM(Data[[#This Row],[Date]],1)</f>
        <v>3</v>
      </c>
      <c r="C870" s="15">
        <f>YEAR(Data[[#This Row],[Date]])</f>
        <v>2020</v>
      </c>
      <c r="D870" s="5">
        <v>43846</v>
      </c>
      <c r="E870" s="1" t="s">
        <v>128</v>
      </c>
      <c r="F870" s="1">
        <v>65212</v>
      </c>
      <c r="G870" s="1" t="s">
        <v>28</v>
      </c>
      <c r="H870" s="1" t="s">
        <v>162</v>
      </c>
      <c r="I870" s="1" t="s">
        <v>0</v>
      </c>
      <c r="J870" s="1">
        <v>1</v>
      </c>
      <c r="K870" s="1">
        <f>J870*(IF(I870=ProdFam[[#Headers],[Test]],(VLOOKUP(Data[[#This Row],[Product Family]],ProdFam[],3,FALSE)),(VLOOKUP(Data[[#This Row],[Product Family]],ProdFam[],2,FALSE))))</f>
        <v>10</v>
      </c>
      <c r="L870" s="1">
        <v>10</v>
      </c>
      <c r="M870" s="1">
        <v>1</v>
      </c>
      <c r="N870" s="7">
        <f>IFERROR(Data[[#This Row],[Actual Time]]/Data[[#This Row],[QTY Complete]],"")</f>
        <v>10</v>
      </c>
      <c r="O870" s="7">
        <f>IF(I870=ProdFam[[#Headers],[Test]],(VLOOKUP(Data[[#This Row],[Product Family]],ProdFam[],3,FALSE)),(VLOOKUP(Data[[#This Row],[Product Family]],ProdFam[],2,FALSE)))</f>
        <v>10</v>
      </c>
    </row>
    <row r="871" spans="2:15" x14ac:dyDescent="0.25">
      <c r="B871" s="1">
        <f>WEEKNUM(Data[[#This Row],[Date]],1)</f>
        <v>3</v>
      </c>
      <c r="C871" s="15">
        <f>YEAR(Data[[#This Row],[Date]])</f>
        <v>2020</v>
      </c>
      <c r="D871" s="5">
        <v>43846</v>
      </c>
      <c r="E871" s="1" t="s">
        <v>128</v>
      </c>
      <c r="F871" s="1">
        <v>65234</v>
      </c>
      <c r="G871" s="1" t="s">
        <v>28</v>
      </c>
      <c r="H871" s="1" t="s">
        <v>162</v>
      </c>
      <c r="I871" s="1" t="s">
        <v>0</v>
      </c>
      <c r="J871" s="1">
        <v>1</v>
      </c>
      <c r="K871" s="1">
        <f>J871*(IF(I871=ProdFam[[#Headers],[Test]],(VLOOKUP(Data[[#This Row],[Product Family]],ProdFam[],3,FALSE)),(VLOOKUP(Data[[#This Row],[Product Family]],ProdFam[],2,FALSE))))</f>
        <v>10</v>
      </c>
      <c r="L871" s="1">
        <v>8</v>
      </c>
      <c r="M871" s="1">
        <v>1</v>
      </c>
      <c r="N871" s="7">
        <f>IFERROR(Data[[#This Row],[Actual Time]]/Data[[#This Row],[QTY Complete]],"")</f>
        <v>8</v>
      </c>
      <c r="O871" s="7">
        <f>IF(I871=ProdFam[[#Headers],[Test]],(VLOOKUP(Data[[#This Row],[Product Family]],ProdFam[],3,FALSE)),(VLOOKUP(Data[[#This Row],[Product Family]],ProdFam[],2,FALSE)))</f>
        <v>10</v>
      </c>
    </row>
    <row r="872" spans="2:15" x14ac:dyDescent="0.25">
      <c r="B872" s="1">
        <f>WEEKNUM(Data[[#This Row],[Date]],1)</f>
        <v>3</v>
      </c>
      <c r="C872" s="15">
        <f>YEAR(Data[[#This Row],[Date]])</f>
        <v>2020</v>
      </c>
      <c r="D872" s="5">
        <v>43846</v>
      </c>
      <c r="E872" s="1" t="s">
        <v>128</v>
      </c>
      <c r="F872" s="1">
        <v>65710</v>
      </c>
      <c r="G872" s="1" t="s">
        <v>50</v>
      </c>
      <c r="H872" s="1" t="s">
        <v>162</v>
      </c>
      <c r="I872" s="1" t="s">
        <v>0</v>
      </c>
      <c r="J872" s="1">
        <v>1</v>
      </c>
      <c r="K872" s="1">
        <f>J872*(IF(I872=ProdFam[[#Headers],[Test]],(VLOOKUP(Data[[#This Row],[Product Family]],ProdFam[],3,FALSE)),(VLOOKUP(Data[[#This Row],[Product Family]],ProdFam[],2,FALSE))))</f>
        <v>10</v>
      </c>
      <c r="L872" s="1">
        <v>6</v>
      </c>
      <c r="M872" s="1">
        <v>1</v>
      </c>
      <c r="N872" s="7">
        <f>IFERROR(Data[[#This Row],[Actual Time]]/Data[[#This Row],[QTY Complete]],"")</f>
        <v>6</v>
      </c>
      <c r="O872" s="7">
        <f>IF(I872=ProdFam[[#Headers],[Test]],(VLOOKUP(Data[[#This Row],[Product Family]],ProdFam[],3,FALSE)),(VLOOKUP(Data[[#This Row],[Product Family]],ProdFam[],2,FALSE)))</f>
        <v>10</v>
      </c>
    </row>
    <row r="873" spans="2:15" x14ac:dyDescent="0.25">
      <c r="B873" s="1">
        <f>WEEKNUM(Data[[#This Row],[Date]],1)</f>
        <v>3</v>
      </c>
      <c r="C873" s="15">
        <f>YEAR(Data[[#This Row],[Date]])</f>
        <v>2020</v>
      </c>
      <c r="D873" s="5">
        <v>43846</v>
      </c>
      <c r="E873" s="1" t="s">
        <v>128</v>
      </c>
      <c r="F873" s="1">
        <v>65710</v>
      </c>
      <c r="G873" s="1" t="s">
        <v>16</v>
      </c>
      <c r="H873" s="1" t="s">
        <v>162</v>
      </c>
      <c r="I873" s="1" t="s">
        <v>0</v>
      </c>
      <c r="J873" s="1">
        <v>2</v>
      </c>
      <c r="K873" s="1">
        <f>J873*(IF(I873=ProdFam[[#Headers],[Test]],(VLOOKUP(Data[[#This Row],[Product Family]],ProdFam[],3,FALSE)),(VLOOKUP(Data[[#This Row],[Product Family]],ProdFam[],2,FALSE))))</f>
        <v>20</v>
      </c>
      <c r="L873" s="1">
        <v>8</v>
      </c>
      <c r="M873" s="1">
        <v>2</v>
      </c>
      <c r="N873" s="7">
        <f>IFERROR(Data[[#This Row],[Actual Time]]/Data[[#This Row],[QTY Complete]],"")</f>
        <v>4</v>
      </c>
      <c r="O873" s="7">
        <f>IF(I873=ProdFam[[#Headers],[Test]],(VLOOKUP(Data[[#This Row],[Product Family]],ProdFam[],3,FALSE)),(VLOOKUP(Data[[#This Row],[Product Family]],ProdFam[],2,FALSE)))</f>
        <v>10</v>
      </c>
    </row>
    <row r="874" spans="2:15" x14ac:dyDescent="0.25">
      <c r="B874" s="1">
        <f>WEEKNUM(Data[[#This Row],[Date]],1)</f>
        <v>3</v>
      </c>
      <c r="C874" s="15">
        <f>YEAR(Data[[#This Row],[Date]])</f>
        <v>2020</v>
      </c>
      <c r="D874" s="5">
        <v>43846</v>
      </c>
      <c r="E874" s="1" t="s">
        <v>128</v>
      </c>
      <c r="F874" s="1">
        <v>30315</v>
      </c>
      <c r="G874" s="1" t="s">
        <v>10</v>
      </c>
      <c r="H874" s="1" t="s">
        <v>162</v>
      </c>
      <c r="I874" s="1" t="s">
        <v>0</v>
      </c>
      <c r="J874" s="1">
        <v>1</v>
      </c>
      <c r="K874" s="1">
        <f>J874*(IF(I874=ProdFam[[#Headers],[Test]],(VLOOKUP(Data[[#This Row],[Product Family]],ProdFam[],3,FALSE)),(VLOOKUP(Data[[#This Row],[Product Family]],ProdFam[],2,FALSE))))</f>
        <v>10</v>
      </c>
      <c r="L874" s="1">
        <v>8</v>
      </c>
      <c r="M874" s="1">
        <v>1</v>
      </c>
      <c r="N874" s="7">
        <f>IFERROR(Data[[#This Row],[Actual Time]]/Data[[#This Row],[QTY Complete]],"")</f>
        <v>8</v>
      </c>
      <c r="O874" s="7">
        <f>IF(I874=ProdFam[[#Headers],[Test]],(VLOOKUP(Data[[#This Row],[Product Family]],ProdFam[],3,FALSE)),(VLOOKUP(Data[[#This Row],[Product Family]],ProdFam[],2,FALSE)))</f>
        <v>10</v>
      </c>
    </row>
    <row r="875" spans="2:15" x14ac:dyDescent="0.25">
      <c r="B875" s="1">
        <f>WEEKNUM(Data[[#This Row],[Date]],1)</f>
        <v>3</v>
      </c>
      <c r="C875" s="15">
        <f>YEAR(Data[[#This Row],[Date]])</f>
        <v>2020</v>
      </c>
      <c r="D875" s="5">
        <v>43846</v>
      </c>
      <c r="E875" s="1" t="s">
        <v>128</v>
      </c>
      <c r="F875" s="1">
        <v>62495</v>
      </c>
      <c r="G875" s="1" t="s">
        <v>44</v>
      </c>
      <c r="H875" s="1" t="s">
        <v>162</v>
      </c>
      <c r="I875" s="1" t="s">
        <v>0</v>
      </c>
      <c r="J875" s="1">
        <v>4</v>
      </c>
      <c r="K875" s="1">
        <f>J875*(IF(I875=ProdFam[[#Headers],[Test]],(VLOOKUP(Data[[#This Row],[Product Family]],ProdFam[],3,FALSE)),(VLOOKUP(Data[[#This Row],[Product Family]],ProdFam[],2,FALSE))))</f>
        <v>40</v>
      </c>
      <c r="L875" s="1">
        <v>32</v>
      </c>
      <c r="M875" s="1">
        <v>4</v>
      </c>
      <c r="N875" s="7">
        <f>IFERROR(Data[[#This Row],[Actual Time]]/Data[[#This Row],[QTY Complete]],"")</f>
        <v>8</v>
      </c>
      <c r="O875" s="7">
        <f>IF(I875=ProdFam[[#Headers],[Test]],(VLOOKUP(Data[[#This Row],[Product Family]],ProdFam[],3,FALSE)),(VLOOKUP(Data[[#This Row],[Product Family]],ProdFam[],2,FALSE)))</f>
        <v>10</v>
      </c>
    </row>
    <row r="876" spans="2:15" x14ac:dyDescent="0.25">
      <c r="B876" s="1">
        <f>WEEKNUM(Data[[#This Row],[Date]],1)</f>
        <v>3</v>
      </c>
      <c r="C876" s="15">
        <f>YEAR(Data[[#This Row],[Date]])</f>
        <v>2020</v>
      </c>
      <c r="D876" s="5">
        <v>43846</v>
      </c>
      <c r="E876" s="1" t="s">
        <v>128</v>
      </c>
      <c r="F876" s="1">
        <v>65237</v>
      </c>
      <c r="G876" s="1" t="s">
        <v>25</v>
      </c>
      <c r="H876" s="1" t="s">
        <v>162</v>
      </c>
      <c r="I876" s="1" t="s">
        <v>0</v>
      </c>
      <c r="J876" s="1">
        <v>1</v>
      </c>
      <c r="K876" s="1">
        <f>J876*(IF(I876=ProdFam[[#Headers],[Test]],(VLOOKUP(Data[[#This Row],[Product Family]],ProdFam[],3,FALSE)),(VLOOKUP(Data[[#This Row],[Product Family]],ProdFam[],2,FALSE))))</f>
        <v>10</v>
      </c>
      <c r="L876" s="1">
        <v>5</v>
      </c>
      <c r="M876" s="1">
        <v>1</v>
      </c>
      <c r="N876" s="7">
        <f>IFERROR(Data[[#This Row],[Actual Time]]/Data[[#This Row],[QTY Complete]],"")</f>
        <v>5</v>
      </c>
      <c r="O876" s="7">
        <f>IF(I876=ProdFam[[#Headers],[Test]],(VLOOKUP(Data[[#This Row],[Product Family]],ProdFam[],3,FALSE)),(VLOOKUP(Data[[#This Row],[Product Family]],ProdFam[],2,FALSE)))</f>
        <v>10</v>
      </c>
    </row>
    <row r="877" spans="2:15" x14ac:dyDescent="0.25">
      <c r="B877" s="1">
        <f>WEEKNUM(Data[[#This Row],[Date]],1)</f>
        <v>3</v>
      </c>
      <c r="C877" s="15">
        <f>YEAR(Data[[#This Row],[Date]])</f>
        <v>2020</v>
      </c>
      <c r="D877" s="5">
        <v>43846</v>
      </c>
      <c r="E877" s="1" t="s">
        <v>128</v>
      </c>
      <c r="F877" s="1">
        <v>63311</v>
      </c>
      <c r="G877" s="1" t="s">
        <v>25</v>
      </c>
      <c r="H877" s="1" t="s">
        <v>162</v>
      </c>
      <c r="I877" s="1" t="s">
        <v>0</v>
      </c>
      <c r="J877" s="1">
        <v>1</v>
      </c>
      <c r="K877" s="1">
        <f>J877*(IF(I877=ProdFam[[#Headers],[Test]],(VLOOKUP(Data[[#This Row],[Product Family]],ProdFam[],3,FALSE)),(VLOOKUP(Data[[#This Row],[Product Family]],ProdFam[],2,FALSE))))</f>
        <v>10</v>
      </c>
      <c r="L877" s="1">
        <v>9</v>
      </c>
      <c r="M877" s="1">
        <v>1</v>
      </c>
      <c r="N877" s="7">
        <f>IFERROR(Data[[#This Row],[Actual Time]]/Data[[#This Row],[QTY Complete]],"")</f>
        <v>9</v>
      </c>
      <c r="O877" s="7">
        <f>IF(I877=ProdFam[[#Headers],[Test]],(VLOOKUP(Data[[#This Row],[Product Family]],ProdFam[],3,FALSE)),(VLOOKUP(Data[[#This Row],[Product Family]],ProdFam[],2,FALSE)))</f>
        <v>10</v>
      </c>
    </row>
    <row r="878" spans="2:15" x14ac:dyDescent="0.25">
      <c r="B878" s="1">
        <f>WEEKNUM(Data[[#This Row],[Date]],1)</f>
        <v>3</v>
      </c>
      <c r="C878" s="15">
        <f>YEAR(Data[[#This Row],[Date]])</f>
        <v>2020</v>
      </c>
      <c r="D878" s="5">
        <v>43846</v>
      </c>
      <c r="E878" s="1" t="s">
        <v>128</v>
      </c>
      <c r="F878" s="1">
        <v>63891</v>
      </c>
      <c r="G878" s="1" t="s">
        <v>26</v>
      </c>
      <c r="H878" s="1" t="s">
        <v>162</v>
      </c>
      <c r="I878" s="1" t="s">
        <v>0</v>
      </c>
      <c r="J878" s="1">
        <v>2</v>
      </c>
      <c r="K878" s="1">
        <f>J878*(IF(I878=ProdFam[[#Headers],[Test]],(VLOOKUP(Data[[#This Row],[Product Family]],ProdFam[],3,FALSE)),(VLOOKUP(Data[[#This Row],[Product Family]],ProdFam[],2,FALSE))))</f>
        <v>20</v>
      </c>
      <c r="L878" s="1">
        <v>12</v>
      </c>
      <c r="M878" s="1">
        <v>2</v>
      </c>
      <c r="N878" s="7">
        <f>IFERROR(Data[[#This Row],[Actual Time]]/Data[[#This Row],[QTY Complete]],"")</f>
        <v>6</v>
      </c>
      <c r="O878" s="7">
        <f>IF(I878=ProdFam[[#Headers],[Test]],(VLOOKUP(Data[[#This Row],[Product Family]],ProdFam[],3,FALSE)),(VLOOKUP(Data[[#This Row],[Product Family]],ProdFam[],2,FALSE)))</f>
        <v>10</v>
      </c>
    </row>
    <row r="879" spans="2:15" x14ac:dyDescent="0.25">
      <c r="B879" s="1">
        <f>WEEKNUM(Data[[#This Row],[Date]],1)</f>
        <v>3</v>
      </c>
      <c r="C879" s="15">
        <f>YEAR(Data[[#This Row],[Date]])</f>
        <v>2020</v>
      </c>
      <c r="D879" s="5">
        <v>43846</v>
      </c>
      <c r="E879" s="1" t="s">
        <v>128</v>
      </c>
      <c r="F879" s="1">
        <v>63216</v>
      </c>
      <c r="G879" s="1" t="s">
        <v>26</v>
      </c>
      <c r="H879" s="1" t="s">
        <v>162</v>
      </c>
      <c r="I879" s="1" t="s">
        <v>0</v>
      </c>
      <c r="J879" s="1">
        <v>3</v>
      </c>
      <c r="K879" s="1">
        <f>J879*(IF(I879=ProdFam[[#Headers],[Test]],(VLOOKUP(Data[[#This Row],[Product Family]],ProdFam[],3,FALSE)),(VLOOKUP(Data[[#This Row],[Product Family]],ProdFam[],2,FALSE))))</f>
        <v>30</v>
      </c>
      <c r="L879" s="1">
        <v>68</v>
      </c>
      <c r="M879" s="1">
        <v>3</v>
      </c>
      <c r="N879" s="7">
        <f>IFERROR(Data[[#This Row],[Actual Time]]/Data[[#This Row],[QTY Complete]],"")</f>
        <v>22.666666666666668</v>
      </c>
      <c r="O879" s="7">
        <f>IF(I879=ProdFam[[#Headers],[Test]],(VLOOKUP(Data[[#This Row],[Product Family]],ProdFam[],3,FALSE)),(VLOOKUP(Data[[#This Row],[Product Family]],ProdFam[],2,FALSE)))</f>
        <v>10</v>
      </c>
    </row>
    <row r="880" spans="2:15" x14ac:dyDescent="0.25">
      <c r="B880" s="1">
        <f>WEEKNUM(Data[[#This Row],[Date]],1)</f>
        <v>3</v>
      </c>
      <c r="C880" s="15">
        <f>YEAR(Data[[#This Row],[Date]])</f>
        <v>2020</v>
      </c>
      <c r="D880" s="5">
        <v>43846</v>
      </c>
      <c r="E880" s="1" t="s">
        <v>128</v>
      </c>
      <c r="F880" s="1">
        <v>65221</v>
      </c>
      <c r="G880" s="1" t="s">
        <v>26</v>
      </c>
      <c r="H880" s="1" t="s">
        <v>162</v>
      </c>
      <c r="I880" s="1" t="s">
        <v>0</v>
      </c>
      <c r="J880" s="1">
        <v>1</v>
      </c>
      <c r="K880" s="1">
        <f>J880*(IF(I880=ProdFam[[#Headers],[Test]],(VLOOKUP(Data[[#This Row],[Product Family]],ProdFam[],3,FALSE)),(VLOOKUP(Data[[#This Row],[Product Family]],ProdFam[],2,FALSE))))</f>
        <v>10</v>
      </c>
      <c r="L880" s="1">
        <v>17</v>
      </c>
      <c r="M880" s="1">
        <v>1</v>
      </c>
      <c r="N880" s="7">
        <f>IFERROR(Data[[#This Row],[Actual Time]]/Data[[#This Row],[QTY Complete]],"")</f>
        <v>17</v>
      </c>
      <c r="O880" s="7">
        <f>IF(I880=ProdFam[[#Headers],[Test]],(VLOOKUP(Data[[#This Row],[Product Family]],ProdFam[],3,FALSE)),(VLOOKUP(Data[[#This Row],[Product Family]],ProdFam[],2,FALSE)))</f>
        <v>10</v>
      </c>
    </row>
    <row r="881" spans="2:15" x14ac:dyDescent="0.25">
      <c r="B881" s="1">
        <f>WEEKNUM(Data[[#This Row],[Date]],1)</f>
        <v>3</v>
      </c>
      <c r="C881" s="15">
        <f>YEAR(Data[[#This Row],[Date]])</f>
        <v>2020</v>
      </c>
      <c r="D881" s="5">
        <v>43846</v>
      </c>
      <c r="E881" s="1" t="s">
        <v>128</v>
      </c>
      <c r="F881" s="1">
        <v>64219</v>
      </c>
      <c r="G881" s="1" t="s">
        <v>26</v>
      </c>
      <c r="H881" s="1" t="s">
        <v>162</v>
      </c>
      <c r="I881" s="1" t="s">
        <v>0</v>
      </c>
      <c r="J881" s="1">
        <v>3</v>
      </c>
      <c r="K881" s="1">
        <f>J881*(IF(I881=ProdFam[[#Headers],[Test]],(VLOOKUP(Data[[#This Row],[Product Family]],ProdFam[],3,FALSE)),(VLOOKUP(Data[[#This Row],[Product Family]],ProdFam[],2,FALSE))))</f>
        <v>30</v>
      </c>
      <c r="L881" s="1">
        <v>24</v>
      </c>
      <c r="M881" s="1">
        <v>3</v>
      </c>
      <c r="N881" s="7">
        <f>IFERROR(Data[[#This Row],[Actual Time]]/Data[[#This Row],[QTY Complete]],"")</f>
        <v>8</v>
      </c>
      <c r="O881" s="7">
        <f>IF(I881=ProdFam[[#Headers],[Test]],(VLOOKUP(Data[[#This Row],[Product Family]],ProdFam[],3,FALSE)),(VLOOKUP(Data[[#This Row],[Product Family]],ProdFam[],2,FALSE)))</f>
        <v>10</v>
      </c>
    </row>
    <row r="882" spans="2:15" x14ac:dyDescent="0.25">
      <c r="B882" s="1">
        <f>WEEKNUM(Data[[#This Row],[Date]],1)</f>
        <v>3</v>
      </c>
      <c r="C882" s="15">
        <f>YEAR(Data[[#This Row],[Date]])</f>
        <v>2020</v>
      </c>
      <c r="D882" s="5">
        <v>43846</v>
      </c>
      <c r="E882" s="1" t="s">
        <v>128</v>
      </c>
      <c r="F882" s="1">
        <v>30327</v>
      </c>
      <c r="G882" s="1" t="s">
        <v>177</v>
      </c>
      <c r="H882" s="1" t="s">
        <v>162</v>
      </c>
      <c r="I882" s="1" t="s">
        <v>0</v>
      </c>
      <c r="J882" s="1">
        <v>2</v>
      </c>
      <c r="K882" s="1">
        <f>J882*(IF(I882=ProdFam[[#Headers],[Test]],(VLOOKUP(Data[[#This Row],[Product Family]],ProdFam[],3,FALSE)),(VLOOKUP(Data[[#This Row],[Product Family]],ProdFam[],2,FALSE))))</f>
        <v>20</v>
      </c>
      <c r="L882" s="1">
        <v>26</v>
      </c>
      <c r="M882" s="1">
        <v>2</v>
      </c>
      <c r="N882" s="7">
        <f>IFERROR(Data[[#This Row],[Actual Time]]/Data[[#This Row],[QTY Complete]],"")</f>
        <v>13</v>
      </c>
      <c r="O882" s="7">
        <f>IF(I882=ProdFam[[#Headers],[Test]],(VLOOKUP(Data[[#This Row],[Product Family]],ProdFam[],3,FALSE)),(VLOOKUP(Data[[#This Row],[Product Family]],ProdFam[],2,FALSE)))</f>
        <v>10</v>
      </c>
    </row>
    <row r="883" spans="2:15" x14ac:dyDescent="0.25">
      <c r="B883" s="1">
        <f>WEEKNUM(Data[[#This Row],[Date]],1)</f>
        <v>2</v>
      </c>
      <c r="C883" s="15">
        <f>YEAR(Data[[#This Row],[Date]])</f>
        <v>2020</v>
      </c>
      <c r="D883" s="5">
        <v>43837</v>
      </c>
      <c r="E883" s="1" t="s">
        <v>131</v>
      </c>
      <c r="F883" s="1">
        <v>29985</v>
      </c>
      <c r="G883" s="1" t="s">
        <v>25</v>
      </c>
      <c r="H883" s="1" t="s">
        <v>113</v>
      </c>
      <c r="I883" s="1" t="s">
        <v>0</v>
      </c>
      <c r="J883" s="1">
        <v>10</v>
      </c>
      <c r="K883" s="1">
        <f>J883*(IF(I883=ProdFam[[#Headers],[Test]],(VLOOKUP(Data[[#This Row],[Product Family]],ProdFam[],3,FALSE)),(VLOOKUP(Data[[#This Row],[Product Family]],ProdFam[],2,FALSE))))</f>
        <v>470</v>
      </c>
      <c r="L883" s="1">
        <v>76</v>
      </c>
      <c r="M883" s="1">
        <v>3</v>
      </c>
      <c r="N883" s="7">
        <f>IFERROR(Data[[#This Row],[Actual Time]]/Data[[#This Row],[QTY Complete]],"")</f>
        <v>25.333333333333332</v>
      </c>
      <c r="O883" s="7">
        <f>IF(I883=ProdFam[[#Headers],[Test]],(VLOOKUP(Data[[#This Row],[Product Family]],ProdFam[],3,FALSE)),(VLOOKUP(Data[[#This Row],[Product Family]],ProdFam[],2,FALSE)))</f>
        <v>47</v>
      </c>
    </row>
    <row r="884" spans="2:15" x14ac:dyDescent="0.25">
      <c r="B884" s="1">
        <f>WEEKNUM(Data[[#This Row],[Date]],1)</f>
        <v>2</v>
      </c>
      <c r="C884" s="15">
        <f>YEAR(Data[[#This Row],[Date]])</f>
        <v>2020</v>
      </c>
      <c r="D884" s="5">
        <v>43837</v>
      </c>
      <c r="E884" s="1" t="s">
        <v>111</v>
      </c>
      <c r="F884" s="1">
        <v>30038</v>
      </c>
      <c r="G884" s="1" t="s">
        <v>6</v>
      </c>
      <c r="H884" s="1" t="s">
        <v>112</v>
      </c>
      <c r="I884" s="1" t="s">
        <v>0</v>
      </c>
      <c r="J884" s="1">
        <v>6</v>
      </c>
      <c r="K884" s="1">
        <f>J884*(IF(I884=ProdFam[[#Headers],[Test]],(VLOOKUP(Data[[#This Row],[Product Family]],ProdFam[],3,FALSE)),(VLOOKUP(Data[[#This Row],[Product Family]],ProdFam[],2,FALSE))))</f>
        <v>60</v>
      </c>
      <c r="L884" s="1">
        <v>66</v>
      </c>
      <c r="M884" s="1">
        <v>6</v>
      </c>
      <c r="N884" s="7">
        <f>IFERROR(Data[[#This Row],[Actual Time]]/Data[[#This Row],[QTY Complete]],"")</f>
        <v>11</v>
      </c>
      <c r="O884" s="7">
        <f>IF(I884=ProdFam[[#Headers],[Test]],(VLOOKUP(Data[[#This Row],[Product Family]],ProdFam[],3,FALSE)),(VLOOKUP(Data[[#This Row],[Product Family]],ProdFam[],2,FALSE)))</f>
        <v>10</v>
      </c>
    </row>
    <row r="885" spans="2:15" x14ac:dyDescent="0.25">
      <c r="B885" s="1">
        <f>WEEKNUM(Data[[#This Row],[Date]],1)</f>
        <v>2</v>
      </c>
      <c r="C885" s="15">
        <f>YEAR(Data[[#This Row],[Date]])</f>
        <v>2020</v>
      </c>
      <c r="D885" s="5">
        <v>43837</v>
      </c>
      <c r="E885" s="1" t="s">
        <v>111</v>
      </c>
      <c r="F885" s="1">
        <v>30156</v>
      </c>
      <c r="G885" s="1" t="s">
        <v>134</v>
      </c>
      <c r="H885" s="1" t="s">
        <v>129</v>
      </c>
      <c r="I885" s="1" t="s">
        <v>0</v>
      </c>
      <c r="J885" s="1">
        <v>1</v>
      </c>
      <c r="K885" s="1">
        <f>J885*(IF(I885=ProdFam[[#Headers],[Test]],(VLOOKUP(Data[[#This Row],[Product Family]],ProdFam[],3,FALSE)),(VLOOKUP(Data[[#This Row],[Product Family]],ProdFam[],2,FALSE))))</f>
        <v>18</v>
      </c>
      <c r="L885" s="1">
        <v>47</v>
      </c>
      <c r="M885" s="1">
        <v>1</v>
      </c>
      <c r="N885" s="7">
        <f>IFERROR(Data[[#This Row],[Actual Time]]/Data[[#This Row],[QTY Complete]],"")</f>
        <v>47</v>
      </c>
      <c r="O885" s="7">
        <f>IF(I885=ProdFam[[#Headers],[Test]],(VLOOKUP(Data[[#This Row],[Product Family]],ProdFam[],3,FALSE)),(VLOOKUP(Data[[#This Row],[Product Family]],ProdFam[],2,FALSE)))</f>
        <v>18</v>
      </c>
    </row>
    <row r="886" spans="2:15" x14ac:dyDescent="0.25">
      <c r="B886" s="1">
        <f>WEEKNUM(Data[[#This Row],[Date]],1)</f>
        <v>2</v>
      </c>
      <c r="C886" s="15">
        <f>YEAR(Data[[#This Row],[Date]])</f>
        <v>2020</v>
      </c>
      <c r="D886" s="5">
        <v>43837</v>
      </c>
      <c r="E886" s="1" t="s">
        <v>111</v>
      </c>
      <c r="F886" s="1">
        <v>30165</v>
      </c>
      <c r="G886" s="1" t="s">
        <v>158</v>
      </c>
      <c r="H886" s="1" t="s">
        <v>129</v>
      </c>
      <c r="I886" s="1" t="s">
        <v>0</v>
      </c>
      <c r="J886" s="1">
        <v>3</v>
      </c>
      <c r="K886" s="1">
        <f>J886*(IF(I886=ProdFam[[#Headers],[Test]],(VLOOKUP(Data[[#This Row],[Product Family]],ProdFam[],3,FALSE)),(VLOOKUP(Data[[#This Row],[Product Family]],ProdFam[],2,FALSE))))</f>
        <v>54</v>
      </c>
      <c r="L886" s="1">
        <v>85</v>
      </c>
      <c r="M886" s="1">
        <v>3</v>
      </c>
      <c r="N886" s="7">
        <f>IFERROR(Data[[#This Row],[Actual Time]]/Data[[#This Row],[QTY Complete]],"")</f>
        <v>28.333333333333332</v>
      </c>
      <c r="O886" s="7">
        <f>IF(I886=ProdFam[[#Headers],[Test]],(VLOOKUP(Data[[#This Row],[Product Family]],ProdFam[],3,FALSE)),(VLOOKUP(Data[[#This Row],[Product Family]],ProdFam[],2,FALSE)))</f>
        <v>18</v>
      </c>
    </row>
    <row r="887" spans="2:15" x14ac:dyDescent="0.25">
      <c r="B887" s="1">
        <f>WEEKNUM(Data[[#This Row],[Date]],1)</f>
        <v>2</v>
      </c>
      <c r="C887" s="15">
        <f>YEAR(Data[[#This Row],[Date]])</f>
        <v>2020</v>
      </c>
      <c r="D887" s="5">
        <v>43837</v>
      </c>
      <c r="E887" s="1" t="s">
        <v>111</v>
      </c>
      <c r="F887" s="1">
        <v>30170</v>
      </c>
      <c r="G887" s="1" t="s">
        <v>178</v>
      </c>
      <c r="H887" s="1" t="s">
        <v>112</v>
      </c>
      <c r="I887" s="1" t="s">
        <v>0</v>
      </c>
      <c r="J887" s="1">
        <v>3</v>
      </c>
      <c r="K887" s="1">
        <f>J887*(IF(I887=ProdFam[[#Headers],[Test]],(VLOOKUP(Data[[#This Row],[Product Family]],ProdFam[],3,FALSE)),(VLOOKUP(Data[[#This Row],[Product Family]],ProdFam[],2,FALSE))))</f>
        <v>30</v>
      </c>
      <c r="L887" s="1">
        <v>25</v>
      </c>
      <c r="M887" s="1">
        <v>3</v>
      </c>
      <c r="N887" s="7">
        <f>IFERROR(Data[[#This Row],[Actual Time]]/Data[[#This Row],[QTY Complete]],"")</f>
        <v>8.3333333333333339</v>
      </c>
      <c r="O887" s="7">
        <f>IF(I887=ProdFam[[#Headers],[Test]],(VLOOKUP(Data[[#This Row],[Product Family]],ProdFam[],3,FALSE)),(VLOOKUP(Data[[#This Row],[Product Family]],ProdFam[],2,FALSE)))</f>
        <v>10</v>
      </c>
    </row>
    <row r="888" spans="2:15" x14ac:dyDescent="0.25">
      <c r="B888" s="1">
        <f>WEEKNUM(Data[[#This Row],[Date]],1)</f>
        <v>2</v>
      </c>
      <c r="C888" s="15">
        <f>YEAR(Data[[#This Row],[Date]])</f>
        <v>2020</v>
      </c>
      <c r="D888" s="5">
        <v>43837</v>
      </c>
      <c r="E888" s="1" t="s">
        <v>111</v>
      </c>
      <c r="F888" s="1">
        <v>30144</v>
      </c>
      <c r="G888" s="1" t="s">
        <v>179</v>
      </c>
      <c r="H888" s="1" t="s">
        <v>112</v>
      </c>
      <c r="I888" s="1" t="s">
        <v>0</v>
      </c>
      <c r="J888" s="1">
        <v>12</v>
      </c>
      <c r="K888" s="1">
        <f>J888*(IF(I888=ProdFam[[#Headers],[Test]],(VLOOKUP(Data[[#This Row],[Product Family]],ProdFam[],3,FALSE)),(VLOOKUP(Data[[#This Row],[Product Family]],ProdFam[],2,FALSE))))</f>
        <v>120</v>
      </c>
      <c r="L888" s="1">
        <v>49</v>
      </c>
      <c r="M888" s="1">
        <v>12</v>
      </c>
      <c r="N888" s="7">
        <f>IFERROR(Data[[#This Row],[Actual Time]]/Data[[#This Row],[QTY Complete]],"")</f>
        <v>4.083333333333333</v>
      </c>
      <c r="O888" s="7">
        <f>IF(I888=ProdFam[[#Headers],[Test]],(VLOOKUP(Data[[#This Row],[Product Family]],ProdFam[],3,FALSE)),(VLOOKUP(Data[[#This Row],[Product Family]],ProdFam[],2,FALSE)))</f>
        <v>10</v>
      </c>
    </row>
    <row r="889" spans="2:15" x14ac:dyDescent="0.25">
      <c r="B889" s="1">
        <f>WEEKNUM(Data[[#This Row],[Date]],1)</f>
        <v>2</v>
      </c>
      <c r="C889" s="15">
        <f>YEAR(Data[[#This Row],[Date]])</f>
        <v>2020</v>
      </c>
      <c r="D889" s="5">
        <v>43837</v>
      </c>
      <c r="E889" s="1" t="s">
        <v>111</v>
      </c>
      <c r="F889" s="1">
        <v>30075</v>
      </c>
      <c r="G889" s="1" t="s">
        <v>90</v>
      </c>
      <c r="H889" s="1" t="s">
        <v>112</v>
      </c>
      <c r="I889" s="1" t="s">
        <v>0</v>
      </c>
      <c r="J889" s="1">
        <v>9</v>
      </c>
      <c r="K889" s="1">
        <f>J889*(IF(I889=ProdFam[[#Headers],[Test]],(VLOOKUP(Data[[#This Row],[Product Family]],ProdFam[],3,FALSE)),(VLOOKUP(Data[[#This Row],[Product Family]],ProdFam[],2,FALSE))))</f>
        <v>90</v>
      </c>
      <c r="L889" s="1">
        <v>15</v>
      </c>
      <c r="M889" s="1">
        <v>9</v>
      </c>
      <c r="N889" s="7">
        <f>IFERROR(Data[[#This Row],[Actual Time]]/Data[[#This Row],[QTY Complete]],"")</f>
        <v>1.6666666666666667</v>
      </c>
      <c r="O889" s="7">
        <f>IF(I889=ProdFam[[#Headers],[Test]],(VLOOKUP(Data[[#This Row],[Product Family]],ProdFam[],3,FALSE)),(VLOOKUP(Data[[#This Row],[Product Family]],ProdFam[],2,FALSE)))</f>
        <v>10</v>
      </c>
    </row>
    <row r="890" spans="2:15" x14ac:dyDescent="0.25">
      <c r="B890" s="1">
        <f>WEEKNUM(Data[[#This Row],[Date]],1)</f>
        <v>3</v>
      </c>
      <c r="C890" s="15">
        <f>YEAR(Data[[#This Row],[Date]])</f>
        <v>2020</v>
      </c>
      <c r="D890" s="5">
        <v>43843</v>
      </c>
      <c r="E890" s="1" t="s">
        <v>111</v>
      </c>
      <c r="F890" s="1">
        <v>30137</v>
      </c>
      <c r="G890" s="1" t="s">
        <v>26</v>
      </c>
      <c r="H890" s="1" t="s">
        <v>113</v>
      </c>
      <c r="I890" s="1" t="s">
        <v>1</v>
      </c>
      <c r="J890" s="1">
        <v>10</v>
      </c>
      <c r="K890" s="1">
        <f>J890*(IF(I890=ProdFam[[#Headers],[Test]],(VLOOKUP(Data[[#This Row],[Product Family]],ProdFam[],3,FALSE)),(VLOOKUP(Data[[#This Row],[Product Family]],ProdFam[],2,FALSE))))</f>
        <v>320</v>
      </c>
      <c r="L890" s="1">
        <v>92</v>
      </c>
      <c r="M890" s="1">
        <v>10</v>
      </c>
      <c r="N890" s="7">
        <f>IFERROR(Data[[#This Row],[Actual Time]]/Data[[#This Row],[QTY Complete]],"")</f>
        <v>9.1999999999999993</v>
      </c>
      <c r="O890" s="7">
        <f>IF(I890=ProdFam[[#Headers],[Test]],(VLOOKUP(Data[[#This Row],[Product Family]],ProdFam[],3,FALSE)),(VLOOKUP(Data[[#This Row],[Product Family]],ProdFam[],2,FALSE)))</f>
        <v>32</v>
      </c>
    </row>
    <row r="891" spans="2:15" x14ac:dyDescent="0.25">
      <c r="B891" s="1">
        <f>WEEKNUM(Data[[#This Row],[Date]],1)</f>
        <v>3</v>
      </c>
      <c r="C891" s="15">
        <f>YEAR(Data[[#This Row],[Date]])</f>
        <v>2020</v>
      </c>
      <c r="D891" s="5">
        <v>43843</v>
      </c>
      <c r="E891" s="1" t="s">
        <v>111</v>
      </c>
      <c r="F891" s="1">
        <v>30285</v>
      </c>
      <c r="G891" s="1" t="s">
        <v>79</v>
      </c>
      <c r="H891" s="1" t="s">
        <v>112</v>
      </c>
      <c r="I891" s="1" t="s">
        <v>0</v>
      </c>
      <c r="J891" s="1">
        <v>3</v>
      </c>
      <c r="K891" s="1">
        <f>J891*(IF(I891=ProdFam[[#Headers],[Test]],(VLOOKUP(Data[[#This Row],[Product Family]],ProdFam[],3,FALSE)),(VLOOKUP(Data[[#This Row],[Product Family]],ProdFam[],2,FALSE))))</f>
        <v>30</v>
      </c>
      <c r="L891" s="1">
        <v>107</v>
      </c>
      <c r="M891" s="1">
        <v>3</v>
      </c>
      <c r="N891" s="7">
        <f>IFERROR(Data[[#This Row],[Actual Time]]/Data[[#This Row],[QTY Complete]],"")</f>
        <v>35.666666666666664</v>
      </c>
      <c r="O891" s="7">
        <f>IF(I891=ProdFam[[#Headers],[Test]],(VLOOKUP(Data[[#This Row],[Product Family]],ProdFam[],3,FALSE)),(VLOOKUP(Data[[#This Row],[Product Family]],ProdFam[],2,FALSE)))</f>
        <v>10</v>
      </c>
    </row>
    <row r="892" spans="2:15" x14ac:dyDescent="0.25">
      <c r="B892" s="1">
        <f>WEEKNUM(Data[[#This Row],[Date]],1)</f>
        <v>3</v>
      </c>
      <c r="C892" s="15">
        <f>YEAR(Data[[#This Row],[Date]])</f>
        <v>2020</v>
      </c>
      <c r="D892" s="5">
        <v>43843</v>
      </c>
      <c r="E892" s="1" t="s">
        <v>111</v>
      </c>
      <c r="F892" s="1">
        <v>30066</v>
      </c>
      <c r="G892" s="1" t="s">
        <v>5</v>
      </c>
      <c r="H892" s="1" t="s">
        <v>112</v>
      </c>
      <c r="I892" s="1" t="s">
        <v>0</v>
      </c>
      <c r="J892" s="1">
        <v>6</v>
      </c>
      <c r="K892" s="1">
        <f>J892*(IF(I892=ProdFam[[#Headers],[Test]],(VLOOKUP(Data[[#This Row],[Product Family]],ProdFam[],3,FALSE)),(VLOOKUP(Data[[#This Row],[Product Family]],ProdFam[],2,FALSE))))</f>
        <v>60</v>
      </c>
      <c r="L892" s="1">
        <v>26</v>
      </c>
      <c r="M892" s="1">
        <v>6</v>
      </c>
      <c r="N892" s="7">
        <f>IFERROR(Data[[#This Row],[Actual Time]]/Data[[#This Row],[QTY Complete]],"")</f>
        <v>4.333333333333333</v>
      </c>
      <c r="O892" s="7">
        <f>IF(I892=ProdFam[[#Headers],[Test]],(VLOOKUP(Data[[#This Row],[Product Family]],ProdFam[],3,FALSE)),(VLOOKUP(Data[[#This Row],[Product Family]],ProdFam[],2,FALSE)))</f>
        <v>10</v>
      </c>
    </row>
    <row r="893" spans="2:15" x14ac:dyDescent="0.25">
      <c r="B893" s="1">
        <f>WEEKNUM(Data[[#This Row],[Date]],1)</f>
        <v>3</v>
      </c>
      <c r="C893" s="15">
        <f>YEAR(Data[[#This Row],[Date]])</f>
        <v>2020</v>
      </c>
      <c r="D893" s="5">
        <v>43845</v>
      </c>
      <c r="E893" s="1" t="s">
        <v>111</v>
      </c>
      <c r="F893" s="1">
        <v>30133</v>
      </c>
      <c r="G893" s="1" t="s">
        <v>28</v>
      </c>
      <c r="H893" s="1" t="s">
        <v>113</v>
      </c>
      <c r="I893" s="1" t="s">
        <v>1</v>
      </c>
      <c r="J893" s="1">
        <v>10</v>
      </c>
      <c r="K893" s="1">
        <f>J893*(IF(I893=ProdFam[[#Headers],[Test]],(VLOOKUP(Data[[#This Row],[Product Family]],ProdFam[],3,FALSE)),(VLOOKUP(Data[[#This Row],[Product Family]],ProdFam[],2,FALSE))))</f>
        <v>320</v>
      </c>
      <c r="L893" s="1">
        <v>265</v>
      </c>
      <c r="M893" s="1">
        <v>10</v>
      </c>
      <c r="N893" s="7">
        <f>IFERROR(Data[[#This Row],[Actual Time]]/Data[[#This Row],[QTY Complete]],"")</f>
        <v>26.5</v>
      </c>
      <c r="O893" s="7">
        <f>IF(I893=ProdFam[[#Headers],[Test]],(VLOOKUP(Data[[#This Row],[Product Family]],ProdFam[],3,FALSE)),(VLOOKUP(Data[[#This Row],[Product Family]],ProdFam[],2,FALSE)))</f>
        <v>32</v>
      </c>
    </row>
    <row r="894" spans="2:15" x14ac:dyDescent="0.25">
      <c r="B894" s="1">
        <f>WEEKNUM(Data[[#This Row],[Date]],1)</f>
        <v>3</v>
      </c>
      <c r="C894" s="15">
        <f>YEAR(Data[[#This Row],[Date]])</f>
        <v>2020</v>
      </c>
      <c r="D894" s="5">
        <v>43845</v>
      </c>
      <c r="E894" s="1" t="s">
        <v>111</v>
      </c>
      <c r="F894" s="1">
        <v>29691</v>
      </c>
      <c r="G894" s="1" t="s">
        <v>29</v>
      </c>
      <c r="H894" s="1" t="s">
        <v>113</v>
      </c>
      <c r="I894" s="1" t="s">
        <v>1</v>
      </c>
      <c r="J894" s="1">
        <v>1</v>
      </c>
      <c r="K894" s="1">
        <f>J894*(IF(I894=ProdFam[[#Headers],[Test]],(VLOOKUP(Data[[#This Row],[Product Family]],ProdFam[],3,FALSE)),(VLOOKUP(Data[[#This Row],[Product Family]],ProdFam[],2,FALSE))))</f>
        <v>32</v>
      </c>
      <c r="L894" s="1">
        <v>79</v>
      </c>
      <c r="M894" s="1">
        <v>1</v>
      </c>
      <c r="N894" s="7">
        <f>IFERROR(Data[[#This Row],[Actual Time]]/Data[[#This Row],[QTY Complete]],"")</f>
        <v>79</v>
      </c>
      <c r="O894" s="7">
        <f>IF(I894=ProdFam[[#Headers],[Test]],(VLOOKUP(Data[[#This Row],[Product Family]],ProdFam[],3,FALSE)),(VLOOKUP(Data[[#This Row],[Product Family]],ProdFam[],2,FALSE)))</f>
        <v>32</v>
      </c>
    </row>
    <row r="895" spans="2:15" x14ac:dyDescent="0.25">
      <c r="B895" s="1">
        <f>WEEKNUM(Data[[#This Row],[Date]],1)</f>
        <v>2</v>
      </c>
      <c r="C895" s="15">
        <f>YEAR(Data[[#This Row],[Date]])</f>
        <v>2020</v>
      </c>
      <c r="D895" s="5">
        <v>43836</v>
      </c>
      <c r="E895" s="1" t="s">
        <v>111</v>
      </c>
      <c r="F895" s="1">
        <v>29992</v>
      </c>
      <c r="G895" s="1" t="s">
        <v>9</v>
      </c>
      <c r="H895" s="1" t="s">
        <v>112</v>
      </c>
      <c r="I895" s="1" t="s">
        <v>1</v>
      </c>
      <c r="J895" s="1">
        <v>9</v>
      </c>
      <c r="K895" s="1">
        <f>J895*(IF(I895=ProdFam[[#Headers],[Test]],(VLOOKUP(Data[[#This Row],[Product Family]],ProdFam[],3,FALSE)),(VLOOKUP(Data[[#This Row],[Product Family]],ProdFam[],2,FALSE))))</f>
        <v>90</v>
      </c>
      <c r="L895" s="1">
        <v>104</v>
      </c>
      <c r="M895" s="1">
        <v>9</v>
      </c>
      <c r="N895" s="7">
        <f>IFERROR(Data[[#This Row],[Actual Time]]/Data[[#This Row],[QTY Complete]],"")</f>
        <v>11.555555555555555</v>
      </c>
      <c r="O895" s="7">
        <f>IF(I895=ProdFam[[#Headers],[Test]],(VLOOKUP(Data[[#This Row],[Product Family]],ProdFam[],3,FALSE)),(VLOOKUP(Data[[#This Row],[Product Family]],ProdFam[],2,FALSE)))</f>
        <v>10</v>
      </c>
    </row>
    <row r="896" spans="2:15" x14ac:dyDescent="0.25">
      <c r="B896" s="1">
        <f>WEEKNUM(Data[[#This Row],[Date]],1)</f>
        <v>1</v>
      </c>
      <c r="C896" s="15">
        <f>YEAR(Data[[#This Row],[Date]])</f>
        <v>2020</v>
      </c>
      <c r="D896" s="5">
        <v>43832</v>
      </c>
      <c r="E896" s="1" t="s">
        <v>111</v>
      </c>
      <c r="F896" s="1">
        <v>29998</v>
      </c>
      <c r="G896" s="1" t="s">
        <v>2</v>
      </c>
      <c r="H896" s="1" t="s">
        <v>112</v>
      </c>
      <c r="I896" s="1" t="s">
        <v>1</v>
      </c>
      <c r="J896" s="1">
        <v>18</v>
      </c>
      <c r="K896" s="1">
        <f>J896*(IF(I896=ProdFam[[#Headers],[Test]],(VLOOKUP(Data[[#This Row],[Product Family]],ProdFam[],3,FALSE)),(VLOOKUP(Data[[#This Row],[Product Family]],ProdFam[],2,FALSE))))</f>
        <v>180</v>
      </c>
      <c r="L896" s="1">
        <v>43</v>
      </c>
      <c r="M896" s="1">
        <v>18</v>
      </c>
      <c r="N896" s="7">
        <f>IFERROR(Data[[#This Row],[Actual Time]]/Data[[#This Row],[QTY Complete]],"")</f>
        <v>2.3888888888888888</v>
      </c>
      <c r="O896" s="7">
        <f>IF(I896=ProdFam[[#Headers],[Test]],(VLOOKUP(Data[[#This Row],[Product Family]],ProdFam[],3,FALSE)),(VLOOKUP(Data[[#This Row],[Product Family]],ProdFam[],2,FALSE)))</f>
        <v>10</v>
      </c>
    </row>
    <row r="897" spans="2:15" x14ac:dyDescent="0.25">
      <c r="B897" s="1">
        <f>WEEKNUM(Data[[#This Row],[Date]],1)</f>
        <v>1</v>
      </c>
      <c r="C897" s="15">
        <f>YEAR(Data[[#This Row],[Date]])</f>
        <v>2020</v>
      </c>
      <c r="D897" s="5">
        <v>43832</v>
      </c>
      <c r="E897" s="1" t="s">
        <v>111</v>
      </c>
      <c r="F897" s="1">
        <v>30039</v>
      </c>
      <c r="G897" s="1" t="s">
        <v>2</v>
      </c>
      <c r="H897" s="1" t="s">
        <v>112</v>
      </c>
      <c r="I897" s="1" t="s">
        <v>1</v>
      </c>
      <c r="J897" s="1">
        <v>12</v>
      </c>
      <c r="K897" s="1">
        <f>J897*(IF(I897=ProdFam[[#Headers],[Test]],(VLOOKUP(Data[[#This Row],[Product Family]],ProdFam[],3,FALSE)),(VLOOKUP(Data[[#This Row],[Product Family]],ProdFam[],2,FALSE))))</f>
        <v>120</v>
      </c>
      <c r="L897" s="1">
        <v>154</v>
      </c>
      <c r="M897" s="1">
        <v>12</v>
      </c>
      <c r="N897" s="7">
        <f>IFERROR(Data[[#This Row],[Actual Time]]/Data[[#This Row],[QTY Complete]],"")</f>
        <v>12.833333333333334</v>
      </c>
      <c r="O897" s="7">
        <f>IF(I897=ProdFam[[#Headers],[Test]],(VLOOKUP(Data[[#This Row],[Product Family]],ProdFam[],3,FALSE)),(VLOOKUP(Data[[#This Row],[Product Family]],ProdFam[],2,FALSE)))</f>
        <v>10</v>
      </c>
    </row>
    <row r="898" spans="2:15" x14ac:dyDescent="0.25">
      <c r="B898" s="1">
        <f>WEEKNUM(Data[[#This Row],[Date]],1)</f>
        <v>1</v>
      </c>
      <c r="C898" s="15">
        <f>YEAR(Data[[#This Row],[Date]])</f>
        <v>2020</v>
      </c>
      <c r="D898" s="5">
        <v>43832</v>
      </c>
      <c r="E898" s="1" t="s">
        <v>111</v>
      </c>
      <c r="F898" s="1">
        <v>30071</v>
      </c>
      <c r="G898" s="1" t="s">
        <v>64</v>
      </c>
      <c r="H898" s="1" t="s">
        <v>112</v>
      </c>
      <c r="I898" s="1" t="s">
        <v>1</v>
      </c>
      <c r="J898" s="1">
        <v>12</v>
      </c>
      <c r="K898" s="1">
        <f>J898*(IF(I898=ProdFam[[#Headers],[Test]],(VLOOKUP(Data[[#This Row],[Product Family]],ProdFam[],3,FALSE)),(VLOOKUP(Data[[#This Row],[Product Family]],ProdFam[],2,FALSE))))</f>
        <v>120</v>
      </c>
      <c r="L898" s="1">
        <v>61</v>
      </c>
      <c r="M898" s="1">
        <v>12</v>
      </c>
      <c r="N898" s="7">
        <f>IFERROR(Data[[#This Row],[Actual Time]]/Data[[#This Row],[QTY Complete]],"")</f>
        <v>5.083333333333333</v>
      </c>
      <c r="O898" s="7">
        <f>IF(I898=ProdFam[[#Headers],[Test]],(VLOOKUP(Data[[#This Row],[Product Family]],ProdFam[],3,FALSE)),(VLOOKUP(Data[[#This Row],[Product Family]],ProdFam[],2,FALSE)))</f>
        <v>10</v>
      </c>
    </row>
    <row r="899" spans="2:15" x14ac:dyDescent="0.25">
      <c r="B899" s="1">
        <f>WEEKNUM(Data[[#This Row],[Date]],1)</f>
        <v>3</v>
      </c>
      <c r="C899" s="15">
        <f>YEAR(Data[[#This Row],[Date]])</f>
        <v>2020</v>
      </c>
      <c r="D899" s="5">
        <v>43844</v>
      </c>
      <c r="E899" s="1" t="s">
        <v>111</v>
      </c>
      <c r="F899" s="1">
        <v>30138</v>
      </c>
      <c r="G899" s="1" t="s">
        <v>50</v>
      </c>
      <c r="H899" s="1" t="s">
        <v>113</v>
      </c>
      <c r="I899" s="1" t="s">
        <v>1</v>
      </c>
      <c r="J899" s="1">
        <v>10</v>
      </c>
      <c r="K899" s="1">
        <f>J899*(IF(I899=ProdFam[[#Headers],[Test]],(VLOOKUP(Data[[#This Row],[Product Family]],ProdFam[],3,FALSE)),(VLOOKUP(Data[[#This Row],[Product Family]],ProdFam[],2,FALSE))))</f>
        <v>320</v>
      </c>
      <c r="L899" s="1">
        <v>272</v>
      </c>
      <c r="M899" s="1">
        <v>10</v>
      </c>
      <c r="N899" s="7">
        <f>IFERROR(Data[[#This Row],[Actual Time]]/Data[[#This Row],[QTY Complete]],"")</f>
        <v>27.2</v>
      </c>
      <c r="O899" s="7">
        <f>IF(I899=ProdFam[[#Headers],[Test]],(VLOOKUP(Data[[#This Row],[Product Family]],ProdFam[],3,FALSE)),(VLOOKUP(Data[[#This Row],[Product Family]],ProdFam[],2,FALSE)))</f>
        <v>32</v>
      </c>
    </row>
    <row r="900" spans="2:15" x14ac:dyDescent="0.25">
      <c r="B900" s="1">
        <f>WEEKNUM(Data[[#This Row],[Date]],1)</f>
        <v>3</v>
      </c>
      <c r="C900" s="15">
        <f>YEAR(Data[[#This Row],[Date]])</f>
        <v>2020</v>
      </c>
      <c r="D900" s="5">
        <v>43844</v>
      </c>
      <c r="E900" s="1" t="s">
        <v>111</v>
      </c>
      <c r="F900" s="1">
        <v>30227</v>
      </c>
      <c r="G900" s="1" t="s">
        <v>173</v>
      </c>
      <c r="H900" s="1" t="s">
        <v>112</v>
      </c>
      <c r="I900" s="1" t="s">
        <v>1</v>
      </c>
      <c r="J900" s="1">
        <v>6</v>
      </c>
      <c r="K900" s="1">
        <f>J900*(IF(I900=ProdFam[[#Headers],[Test]],(VLOOKUP(Data[[#This Row],[Product Family]],ProdFam[],3,FALSE)),(VLOOKUP(Data[[#This Row],[Product Family]],ProdFam[],2,FALSE))))</f>
        <v>60</v>
      </c>
      <c r="L900" s="1">
        <v>79</v>
      </c>
      <c r="M900" s="1">
        <v>6</v>
      </c>
      <c r="N900" s="7">
        <f>IFERROR(Data[[#This Row],[Actual Time]]/Data[[#This Row],[QTY Complete]],"")</f>
        <v>13.166666666666666</v>
      </c>
      <c r="O900" s="7">
        <f>IF(I900=ProdFam[[#Headers],[Test]],(VLOOKUP(Data[[#This Row],[Product Family]],ProdFam[],3,FALSE)),(VLOOKUP(Data[[#This Row],[Product Family]],ProdFam[],2,FALSE)))</f>
        <v>10</v>
      </c>
    </row>
    <row r="901" spans="2:15" x14ac:dyDescent="0.25">
      <c r="B901" s="1">
        <f>WEEKNUM(Data[[#This Row],[Date]],1)</f>
        <v>3</v>
      </c>
      <c r="C901" s="15">
        <f>YEAR(Data[[#This Row],[Date]])</f>
        <v>2020</v>
      </c>
      <c r="D901" s="5">
        <v>43844</v>
      </c>
      <c r="E901" s="1" t="s">
        <v>111</v>
      </c>
      <c r="F901" s="1">
        <v>30163</v>
      </c>
      <c r="G901" s="1" t="s">
        <v>133</v>
      </c>
      <c r="H901" s="1" t="s">
        <v>112</v>
      </c>
      <c r="I901" s="1" t="s">
        <v>1</v>
      </c>
      <c r="J901" s="1">
        <v>3</v>
      </c>
      <c r="K901" s="1">
        <f>J901*(IF(I901=ProdFam[[#Headers],[Test]],(VLOOKUP(Data[[#This Row],[Product Family]],ProdFam[],3,FALSE)),(VLOOKUP(Data[[#This Row],[Product Family]],ProdFam[],2,FALSE))))</f>
        <v>30</v>
      </c>
      <c r="L901" s="1">
        <v>24</v>
      </c>
      <c r="M901" s="1">
        <v>3</v>
      </c>
      <c r="N901" s="7">
        <f>IFERROR(Data[[#This Row],[Actual Time]]/Data[[#This Row],[QTY Complete]],"")</f>
        <v>8</v>
      </c>
      <c r="O901" s="7">
        <f>IF(I901=ProdFam[[#Headers],[Test]],(VLOOKUP(Data[[#This Row],[Product Family]],ProdFam[],3,FALSE)),(VLOOKUP(Data[[#This Row],[Product Family]],ProdFam[],2,FALSE)))</f>
        <v>10</v>
      </c>
    </row>
    <row r="902" spans="2:15" x14ac:dyDescent="0.25">
      <c r="B902" s="1">
        <f>WEEKNUM(Data[[#This Row],[Date]],1)</f>
        <v>2</v>
      </c>
      <c r="C902" s="15">
        <f>YEAR(Data[[#This Row],[Date]])</f>
        <v>2020</v>
      </c>
      <c r="D902" s="5">
        <v>43837</v>
      </c>
      <c r="E902" s="1" t="s">
        <v>111</v>
      </c>
      <c r="F902" s="1">
        <v>30072</v>
      </c>
      <c r="G902" s="1" t="s">
        <v>49</v>
      </c>
      <c r="H902" s="1" t="s">
        <v>112</v>
      </c>
      <c r="I902" s="1" t="s">
        <v>1</v>
      </c>
      <c r="J902" s="1">
        <v>12</v>
      </c>
      <c r="K902" s="1">
        <f>J902*(IF(I902=ProdFam[[#Headers],[Test]],(VLOOKUP(Data[[#This Row],[Product Family]],ProdFam[],3,FALSE)),(VLOOKUP(Data[[#This Row],[Product Family]],ProdFam[],2,FALSE))))</f>
        <v>120</v>
      </c>
      <c r="L902" s="1">
        <v>134</v>
      </c>
      <c r="M902" s="1">
        <v>12</v>
      </c>
      <c r="N902" s="7">
        <f>IFERROR(Data[[#This Row],[Actual Time]]/Data[[#This Row],[QTY Complete]],"")</f>
        <v>11.166666666666666</v>
      </c>
      <c r="O902" s="7">
        <f>IF(I902=ProdFam[[#Headers],[Test]],(VLOOKUP(Data[[#This Row],[Product Family]],ProdFam[],3,FALSE)),(VLOOKUP(Data[[#This Row],[Product Family]],ProdFam[],2,FALSE)))</f>
        <v>10</v>
      </c>
    </row>
    <row r="903" spans="2:15" x14ac:dyDescent="0.25">
      <c r="B903" s="1">
        <f>WEEKNUM(Data[[#This Row],[Date]],1)</f>
        <v>2</v>
      </c>
      <c r="C903" s="15">
        <f>YEAR(Data[[#This Row],[Date]])</f>
        <v>2020</v>
      </c>
      <c r="D903" s="5">
        <v>43837</v>
      </c>
      <c r="E903" s="1" t="s">
        <v>111</v>
      </c>
      <c r="F903" s="1">
        <v>30074</v>
      </c>
      <c r="G903" s="1" t="s">
        <v>32</v>
      </c>
      <c r="H903" s="1" t="s">
        <v>112</v>
      </c>
      <c r="I903" s="1" t="s">
        <v>1</v>
      </c>
      <c r="J903" s="1">
        <v>9</v>
      </c>
      <c r="K903" s="1">
        <f>J903*(IF(I903=ProdFam[[#Headers],[Test]],(VLOOKUP(Data[[#This Row],[Product Family]],ProdFam[],3,FALSE)),(VLOOKUP(Data[[#This Row],[Product Family]],ProdFam[],2,FALSE))))</f>
        <v>90</v>
      </c>
      <c r="L903" s="1">
        <v>111</v>
      </c>
      <c r="M903" s="1">
        <v>9</v>
      </c>
      <c r="N903" s="7">
        <f>IFERROR(Data[[#This Row],[Actual Time]]/Data[[#This Row],[QTY Complete]],"")</f>
        <v>12.333333333333334</v>
      </c>
      <c r="O903" s="7">
        <f>IF(I903=ProdFam[[#Headers],[Test]],(VLOOKUP(Data[[#This Row],[Product Family]],ProdFam[],3,FALSE)),(VLOOKUP(Data[[#This Row],[Product Family]],ProdFam[],2,FALSE)))</f>
        <v>10</v>
      </c>
    </row>
    <row r="904" spans="2:15" x14ac:dyDescent="0.25">
      <c r="B904" s="1">
        <f>WEEKNUM(Data[[#This Row],[Date]],1)</f>
        <v>2</v>
      </c>
      <c r="C904" s="15">
        <f>YEAR(Data[[#This Row],[Date]])</f>
        <v>2020</v>
      </c>
      <c r="D904" s="5">
        <v>43838</v>
      </c>
      <c r="E904" s="1" t="s">
        <v>117</v>
      </c>
      <c r="F904" s="1">
        <v>29985</v>
      </c>
      <c r="G904" s="1" t="s">
        <v>25</v>
      </c>
      <c r="H904" s="1" t="s">
        <v>113</v>
      </c>
      <c r="I904" s="1" t="s">
        <v>1</v>
      </c>
      <c r="J904" s="1">
        <v>10</v>
      </c>
      <c r="K904" s="1">
        <f>J904*(IF(I904=ProdFam[[#Headers],[Test]],(VLOOKUP(Data[[#This Row],[Product Family]],ProdFam[],3,FALSE)),(VLOOKUP(Data[[#This Row],[Product Family]],ProdFam[],2,FALSE))))</f>
        <v>320</v>
      </c>
      <c r="L904" s="1">
        <v>115</v>
      </c>
      <c r="M904" s="1">
        <v>7</v>
      </c>
      <c r="N904" s="7">
        <f>IFERROR(Data[[#This Row],[Actual Time]]/Data[[#This Row],[QTY Complete]],"")</f>
        <v>16.428571428571427</v>
      </c>
      <c r="O904" s="7">
        <f>IF(I904=ProdFam[[#Headers],[Test]],(VLOOKUP(Data[[#This Row],[Product Family]],ProdFam[],3,FALSE)),(VLOOKUP(Data[[#This Row],[Product Family]],ProdFam[],2,FALSE)))</f>
        <v>32</v>
      </c>
    </row>
    <row r="905" spans="2:15" x14ac:dyDescent="0.25">
      <c r="B905" s="1">
        <f>WEEKNUM(Data[[#This Row],[Date]],1)</f>
        <v>2</v>
      </c>
      <c r="C905" s="15">
        <f>YEAR(Data[[#This Row],[Date]])</f>
        <v>2020</v>
      </c>
      <c r="D905" s="5">
        <v>43838</v>
      </c>
      <c r="E905" s="1" t="s">
        <v>119</v>
      </c>
      <c r="F905" s="1">
        <v>30170</v>
      </c>
      <c r="G905" s="1" t="s">
        <v>7</v>
      </c>
      <c r="H905" s="1" t="s">
        <v>115</v>
      </c>
      <c r="I905" s="1" t="s">
        <v>1</v>
      </c>
      <c r="J905" s="1">
        <v>3</v>
      </c>
      <c r="K905" s="1">
        <f>J905*(IF(I905=ProdFam[[#Headers],[Test]],(VLOOKUP(Data[[#This Row],[Product Family]],ProdFam[],3,FALSE)),(VLOOKUP(Data[[#This Row],[Product Family]],ProdFam[],2,FALSE))))</f>
        <v>72</v>
      </c>
      <c r="L905" s="1">
        <v>53</v>
      </c>
      <c r="M905" s="1">
        <v>3</v>
      </c>
      <c r="N905" s="7">
        <f>IFERROR(Data[[#This Row],[Actual Time]]/Data[[#This Row],[QTY Complete]],"")</f>
        <v>17.666666666666668</v>
      </c>
      <c r="O905" s="7">
        <f>IF(I905=ProdFam[[#Headers],[Test]],(VLOOKUP(Data[[#This Row],[Product Family]],ProdFam[],3,FALSE)),(VLOOKUP(Data[[#This Row],[Product Family]],ProdFam[],2,FALSE)))</f>
        <v>24</v>
      </c>
    </row>
    <row r="906" spans="2:15" x14ac:dyDescent="0.25">
      <c r="B906" s="1">
        <f>WEEKNUM(Data[[#This Row],[Date]],1)</f>
        <v>2</v>
      </c>
      <c r="C906" s="15">
        <f>YEAR(Data[[#This Row],[Date]])</f>
        <v>2020</v>
      </c>
      <c r="D906" s="5">
        <v>43838</v>
      </c>
      <c r="E906" s="1" t="s">
        <v>119</v>
      </c>
      <c r="F906" s="1">
        <v>30144</v>
      </c>
      <c r="G906" s="1" t="s">
        <v>70</v>
      </c>
      <c r="H906" s="1" t="s">
        <v>115</v>
      </c>
      <c r="I906" s="1" t="s">
        <v>1</v>
      </c>
      <c r="J906" s="1">
        <v>12</v>
      </c>
      <c r="K906" s="1">
        <f>J906*(IF(I906=ProdFam[[#Headers],[Test]],(VLOOKUP(Data[[#This Row],[Product Family]],ProdFam[],3,FALSE)),(VLOOKUP(Data[[#This Row],[Product Family]],ProdFam[],2,FALSE))))</f>
        <v>288</v>
      </c>
      <c r="L906" s="1">
        <v>192</v>
      </c>
      <c r="M906" s="1">
        <v>12</v>
      </c>
      <c r="N906" s="7">
        <f>IFERROR(Data[[#This Row],[Actual Time]]/Data[[#This Row],[QTY Complete]],"")</f>
        <v>16</v>
      </c>
      <c r="O906" s="7">
        <f>IF(I906=ProdFam[[#Headers],[Test]],(VLOOKUP(Data[[#This Row],[Product Family]],ProdFam[],3,FALSE)),(VLOOKUP(Data[[#This Row],[Product Family]],ProdFam[],2,FALSE)))</f>
        <v>24</v>
      </c>
    </row>
    <row r="907" spans="2:15" x14ac:dyDescent="0.25">
      <c r="B907" s="1">
        <f>WEEKNUM(Data[[#This Row],[Date]],1)</f>
        <v>3</v>
      </c>
      <c r="C907" s="15">
        <f>YEAR(Data[[#This Row],[Date]])</f>
        <v>2020</v>
      </c>
      <c r="D907" s="5">
        <v>43844</v>
      </c>
      <c r="E907" s="1" t="s">
        <v>119</v>
      </c>
      <c r="F907" s="1">
        <v>30146</v>
      </c>
      <c r="G907" s="1" t="s">
        <v>25</v>
      </c>
      <c r="H907" s="1" t="s">
        <v>113</v>
      </c>
      <c r="I907" s="1" t="s">
        <v>1</v>
      </c>
      <c r="J907" s="1">
        <v>9</v>
      </c>
      <c r="K907" s="1">
        <f>J907*(IF(I907=ProdFam[[#Headers],[Test]],(VLOOKUP(Data[[#This Row],[Product Family]],ProdFam[],3,FALSE)),(VLOOKUP(Data[[#This Row],[Product Family]],ProdFam[],2,FALSE))))</f>
        <v>288</v>
      </c>
      <c r="L907" s="1">
        <v>51</v>
      </c>
      <c r="M907" s="1">
        <v>9</v>
      </c>
      <c r="N907" s="7">
        <f>IFERROR(Data[[#This Row],[Actual Time]]/Data[[#This Row],[QTY Complete]],"")</f>
        <v>5.666666666666667</v>
      </c>
      <c r="O907" s="7">
        <f>IF(I907=ProdFam[[#Headers],[Test]],(VLOOKUP(Data[[#This Row],[Product Family]],ProdFam[],3,FALSE)),(VLOOKUP(Data[[#This Row],[Product Family]],ProdFam[],2,FALSE)))</f>
        <v>32</v>
      </c>
    </row>
    <row r="908" spans="2:15" x14ac:dyDescent="0.25">
      <c r="B908" s="1">
        <f>WEEKNUM(Data[[#This Row],[Date]],1)</f>
        <v>3</v>
      </c>
      <c r="C908" s="15">
        <f>YEAR(Data[[#This Row],[Date]])</f>
        <v>2020</v>
      </c>
      <c r="D908" s="5">
        <v>43844</v>
      </c>
      <c r="E908" s="1" t="s">
        <v>119</v>
      </c>
      <c r="F908" s="1">
        <v>30143</v>
      </c>
      <c r="G908" s="1" t="s">
        <v>15</v>
      </c>
      <c r="H908" s="1" t="s">
        <v>113</v>
      </c>
      <c r="I908" s="1" t="s">
        <v>1</v>
      </c>
      <c r="J908" s="1">
        <v>8</v>
      </c>
      <c r="K908" s="1">
        <f>J908*(IF(I908=ProdFam[[#Headers],[Test]],(VLOOKUP(Data[[#This Row],[Product Family]],ProdFam[],3,FALSE)),(VLOOKUP(Data[[#This Row],[Product Family]],ProdFam[],2,FALSE))))</f>
        <v>256</v>
      </c>
      <c r="L908" s="1">
        <v>126</v>
      </c>
      <c r="M908" s="1">
        <v>8</v>
      </c>
      <c r="N908" s="7">
        <f>IFERROR(Data[[#This Row],[Actual Time]]/Data[[#This Row],[QTY Complete]],"")</f>
        <v>15.75</v>
      </c>
      <c r="O908" s="7">
        <f>IF(I908=ProdFam[[#Headers],[Test]],(VLOOKUP(Data[[#This Row],[Product Family]],ProdFam[],3,FALSE)),(VLOOKUP(Data[[#This Row],[Product Family]],ProdFam[],2,FALSE)))</f>
        <v>32</v>
      </c>
    </row>
    <row r="909" spans="2:15" x14ac:dyDescent="0.25">
      <c r="B909" s="1">
        <f>WEEKNUM(Data[[#This Row],[Date]],1)</f>
        <v>3</v>
      </c>
      <c r="C909" s="15">
        <f>YEAR(Data[[#This Row],[Date]])</f>
        <v>2020</v>
      </c>
      <c r="D909" s="5">
        <v>43844</v>
      </c>
      <c r="E909" s="1" t="s">
        <v>119</v>
      </c>
      <c r="F909" s="1">
        <v>30299</v>
      </c>
      <c r="G909" s="1" t="s">
        <v>43</v>
      </c>
      <c r="H909" s="1" t="s">
        <v>115</v>
      </c>
      <c r="I909" s="1" t="s">
        <v>0</v>
      </c>
      <c r="J909" s="1">
        <v>3</v>
      </c>
      <c r="K909" s="1">
        <f>J909*(IF(I909=ProdFam[[#Headers],[Test]],(VLOOKUP(Data[[#This Row],[Product Family]],ProdFam[],3,FALSE)),(VLOOKUP(Data[[#This Row],[Product Family]],ProdFam[],2,FALSE))))</f>
        <v>24</v>
      </c>
      <c r="L909" s="1">
        <v>61</v>
      </c>
      <c r="M909" s="1">
        <v>3</v>
      </c>
      <c r="N909" s="7">
        <f>IFERROR(Data[[#This Row],[Actual Time]]/Data[[#This Row],[QTY Complete]],"")</f>
        <v>20.333333333333332</v>
      </c>
      <c r="O909" s="7">
        <f>IF(I909=ProdFam[[#Headers],[Test]],(VLOOKUP(Data[[#This Row],[Product Family]],ProdFam[],3,FALSE)),(VLOOKUP(Data[[#This Row],[Product Family]],ProdFam[],2,FALSE)))</f>
        <v>8</v>
      </c>
    </row>
    <row r="910" spans="2:15" x14ac:dyDescent="0.25">
      <c r="B910" s="1">
        <f>WEEKNUM(Data[[#This Row],[Date]],1)</f>
        <v>3</v>
      </c>
      <c r="C910" s="15">
        <f>YEAR(Data[[#This Row],[Date]])</f>
        <v>2020</v>
      </c>
      <c r="D910" s="5">
        <v>43844</v>
      </c>
      <c r="E910" s="1" t="s">
        <v>119</v>
      </c>
      <c r="F910" s="1">
        <v>30307</v>
      </c>
      <c r="G910" s="1" t="s">
        <v>18</v>
      </c>
      <c r="H910" s="1" t="s">
        <v>115</v>
      </c>
      <c r="I910" s="1" t="s">
        <v>0</v>
      </c>
      <c r="J910" s="1">
        <v>10</v>
      </c>
      <c r="K910" s="1">
        <f>J910*(IF(I910=ProdFam[[#Headers],[Test]],(VLOOKUP(Data[[#This Row],[Product Family]],ProdFam[],3,FALSE)),(VLOOKUP(Data[[#This Row],[Product Family]],ProdFam[],2,FALSE))))</f>
        <v>80</v>
      </c>
      <c r="L910" s="1">
        <v>13</v>
      </c>
      <c r="M910" s="1">
        <v>10</v>
      </c>
      <c r="N910" s="7">
        <f>IFERROR(Data[[#This Row],[Actual Time]]/Data[[#This Row],[QTY Complete]],"")</f>
        <v>1.3</v>
      </c>
      <c r="O910" s="7">
        <f>IF(I910=ProdFam[[#Headers],[Test]],(VLOOKUP(Data[[#This Row],[Product Family]],ProdFam[],3,FALSE)),(VLOOKUP(Data[[#This Row],[Product Family]],ProdFam[],2,FALSE)))</f>
        <v>8</v>
      </c>
    </row>
    <row r="911" spans="2:15" x14ac:dyDescent="0.25">
      <c r="B911" s="1">
        <f>WEEKNUM(Data[[#This Row],[Date]],1)</f>
        <v>3</v>
      </c>
      <c r="C911" s="15">
        <f>YEAR(Data[[#This Row],[Date]])</f>
        <v>2020</v>
      </c>
      <c r="D911" s="5">
        <v>43844</v>
      </c>
      <c r="E911" s="1" t="s">
        <v>119</v>
      </c>
      <c r="F911" s="1">
        <v>30302</v>
      </c>
      <c r="G911" s="1" t="s">
        <v>63</v>
      </c>
      <c r="H911" s="1" t="s">
        <v>115</v>
      </c>
      <c r="I911" s="1" t="s">
        <v>0</v>
      </c>
      <c r="J911" s="1">
        <v>15</v>
      </c>
      <c r="K911" s="1">
        <f>J911*(IF(I911=ProdFam[[#Headers],[Test]],(VLOOKUP(Data[[#This Row],[Product Family]],ProdFam[],3,FALSE)),(VLOOKUP(Data[[#This Row],[Product Family]],ProdFam[],2,FALSE))))</f>
        <v>120</v>
      </c>
      <c r="L911" s="1">
        <v>91</v>
      </c>
      <c r="M911" s="1">
        <v>15</v>
      </c>
      <c r="N911" s="7">
        <f>IFERROR(Data[[#This Row],[Actual Time]]/Data[[#This Row],[QTY Complete]],"")</f>
        <v>6.0666666666666664</v>
      </c>
      <c r="O911" s="7">
        <f>IF(I911=ProdFam[[#Headers],[Test]],(VLOOKUP(Data[[#This Row],[Product Family]],ProdFam[],3,FALSE)),(VLOOKUP(Data[[#This Row],[Product Family]],ProdFam[],2,FALSE)))</f>
        <v>8</v>
      </c>
    </row>
    <row r="912" spans="2:15" x14ac:dyDescent="0.25">
      <c r="B912" s="1">
        <f>WEEKNUM(Data[[#This Row],[Date]],1)</f>
        <v>3</v>
      </c>
      <c r="C912" s="15">
        <f>YEAR(Data[[#This Row],[Date]])</f>
        <v>2020</v>
      </c>
      <c r="D912" s="5">
        <v>43844</v>
      </c>
      <c r="E912" s="1" t="s">
        <v>119</v>
      </c>
      <c r="F912" s="1">
        <v>30305</v>
      </c>
      <c r="G912" s="1" t="s">
        <v>61</v>
      </c>
      <c r="H912" s="1" t="s">
        <v>112</v>
      </c>
      <c r="I912" s="1" t="s">
        <v>0</v>
      </c>
      <c r="J912" s="1">
        <v>12</v>
      </c>
      <c r="K912" s="1">
        <f>J912*(IF(I912=ProdFam[[#Headers],[Test]],(VLOOKUP(Data[[#This Row],[Product Family]],ProdFam[],3,FALSE)),(VLOOKUP(Data[[#This Row],[Product Family]],ProdFam[],2,FALSE))))</f>
        <v>120</v>
      </c>
      <c r="L912" s="1">
        <v>30</v>
      </c>
      <c r="M912" s="1">
        <v>12</v>
      </c>
      <c r="N912" s="7">
        <f>IFERROR(Data[[#This Row],[Actual Time]]/Data[[#This Row],[QTY Complete]],"")</f>
        <v>2.5</v>
      </c>
      <c r="O912" s="7">
        <f>IF(I912=ProdFam[[#Headers],[Test]],(VLOOKUP(Data[[#This Row],[Product Family]],ProdFam[],3,FALSE)),(VLOOKUP(Data[[#This Row],[Product Family]],ProdFam[],2,FALSE)))</f>
        <v>10</v>
      </c>
    </row>
    <row r="913" spans="2:15" x14ac:dyDescent="0.25">
      <c r="B913" s="1">
        <f>WEEKNUM(Data[[#This Row],[Date]],1)</f>
        <v>3</v>
      </c>
      <c r="C913" s="15">
        <f>YEAR(Data[[#This Row],[Date]])</f>
        <v>2020</v>
      </c>
      <c r="D913" s="5">
        <v>43844</v>
      </c>
      <c r="E913" s="1" t="s">
        <v>119</v>
      </c>
      <c r="F913" s="1">
        <v>30226</v>
      </c>
      <c r="G913" s="1" t="s">
        <v>147</v>
      </c>
      <c r="H913" s="1" t="s">
        <v>112</v>
      </c>
      <c r="I913" s="1" t="s">
        <v>0</v>
      </c>
      <c r="J913" s="1">
        <v>4</v>
      </c>
      <c r="K913" s="1">
        <f>J913*(IF(I913=ProdFam[[#Headers],[Test]],(VLOOKUP(Data[[#This Row],[Product Family]],ProdFam[],3,FALSE)),(VLOOKUP(Data[[#This Row],[Product Family]],ProdFam[],2,FALSE))))</f>
        <v>40</v>
      </c>
      <c r="L913" s="1">
        <v>17</v>
      </c>
      <c r="M913" s="1">
        <v>4</v>
      </c>
      <c r="N913" s="7">
        <f>IFERROR(Data[[#This Row],[Actual Time]]/Data[[#This Row],[QTY Complete]],"")</f>
        <v>4.25</v>
      </c>
      <c r="O913" s="7">
        <f>IF(I913=ProdFam[[#Headers],[Test]],(VLOOKUP(Data[[#This Row],[Product Family]],ProdFam[],3,FALSE)),(VLOOKUP(Data[[#This Row],[Product Family]],ProdFam[],2,FALSE)))</f>
        <v>10</v>
      </c>
    </row>
    <row r="914" spans="2:15" x14ac:dyDescent="0.25">
      <c r="B914" s="1">
        <f>WEEKNUM(Data[[#This Row],[Date]],1)</f>
        <v>3</v>
      </c>
      <c r="C914" s="15">
        <f>YEAR(Data[[#This Row],[Date]])</f>
        <v>2020</v>
      </c>
      <c r="D914" s="5">
        <v>43844</v>
      </c>
      <c r="E914" s="1" t="s">
        <v>119</v>
      </c>
      <c r="F914" s="1">
        <v>30143</v>
      </c>
      <c r="G914" s="1" t="s">
        <v>15</v>
      </c>
      <c r="H914" s="1" t="s">
        <v>113</v>
      </c>
      <c r="I914" s="1" t="s">
        <v>0</v>
      </c>
      <c r="J914" s="1">
        <v>8</v>
      </c>
      <c r="K914" s="1">
        <f>J914*(IF(I914=ProdFam[[#Headers],[Test]],(VLOOKUP(Data[[#This Row],[Product Family]],ProdFam[],3,FALSE)),(VLOOKUP(Data[[#This Row],[Product Family]],ProdFam[],2,FALSE))))</f>
        <v>376</v>
      </c>
      <c r="L914" s="1">
        <v>187</v>
      </c>
      <c r="M914" s="1">
        <v>8</v>
      </c>
      <c r="N914" s="7">
        <f>IFERROR(Data[[#This Row],[Actual Time]]/Data[[#This Row],[QTY Complete]],"")</f>
        <v>23.375</v>
      </c>
      <c r="O914" s="7">
        <f>IF(I914=ProdFam[[#Headers],[Test]],(VLOOKUP(Data[[#This Row],[Product Family]],ProdFam[],3,FALSE)),(VLOOKUP(Data[[#This Row],[Product Family]],ProdFam[],2,FALSE)))</f>
        <v>47</v>
      </c>
    </row>
    <row r="915" spans="2:15" x14ac:dyDescent="0.25">
      <c r="B915" s="1">
        <f>WEEKNUM(Data[[#This Row],[Date]],1)</f>
        <v>3</v>
      </c>
      <c r="C915" s="15">
        <f>YEAR(Data[[#This Row],[Date]])</f>
        <v>2020</v>
      </c>
      <c r="D915" s="5">
        <v>43844</v>
      </c>
      <c r="E915" s="1" t="s">
        <v>119</v>
      </c>
      <c r="F915" s="1">
        <v>30284</v>
      </c>
      <c r="G915" s="1" t="s">
        <v>138</v>
      </c>
      <c r="H915" s="1" t="s">
        <v>115</v>
      </c>
      <c r="I915" s="1" t="s">
        <v>1</v>
      </c>
      <c r="J915" s="1">
        <v>15</v>
      </c>
      <c r="K915" s="1">
        <f>J915*(IF(I915=ProdFam[[#Headers],[Test]],(VLOOKUP(Data[[#This Row],[Product Family]],ProdFam[],3,FALSE)),(VLOOKUP(Data[[#This Row],[Product Family]],ProdFam[],2,FALSE))))</f>
        <v>360</v>
      </c>
      <c r="L915" s="1">
        <v>275</v>
      </c>
      <c r="M915" s="1">
        <v>15</v>
      </c>
      <c r="N915" s="7">
        <f>IFERROR(Data[[#This Row],[Actual Time]]/Data[[#This Row],[QTY Complete]],"")</f>
        <v>18.333333333333332</v>
      </c>
      <c r="O915" s="7">
        <f>IF(I915=ProdFam[[#Headers],[Test]],(VLOOKUP(Data[[#This Row],[Product Family]],ProdFam[],3,FALSE)),(VLOOKUP(Data[[#This Row],[Product Family]],ProdFam[],2,FALSE)))</f>
        <v>24</v>
      </c>
    </row>
    <row r="916" spans="2:15" x14ac:dyDescent="0.25">
      <c r="B916" s="1">
        <f>WEEKNUM(Data[[#This Row],[Date]],1)</f>
        <v>2</v>
      </c>
      <c r="C916" s="15">
        <f>YEAR(Data[[#This Row],[Date]])</f>
        <v>2020</v>
      </c>
      <c r="D916" s="5">
        <v>43839</v>
      </c>
      <c r="E916" s="1" t="s">
        <v>119</v>
      </c>
      <c r="F916" s="1">
        <v>30140</v>
      </c>
      <c r="G916" s="1" t="s">
        <v>180</v>
      </c>
      <c r="H916" s="1" t="s">
        <v>115</v>
      </c>
      <c r="I916" s="1" t="s">
        <v>1</v>
      </c>
      <c r="J916" s="1">
        <v>5</v>
      </c>
      <c r="K916" s="1">
        <f>J916*(IF(I916=ProdFam[[#Headers],[Test]],(VLOOKUP(Data[[#This Row],[Product Family]],ProdFam[],3,FALSE)),(VLOOKUP(Data[[#This Row],[Product Family]],ProdFam[],2,FALSE))))</f>
        <v>120</v>
      </c>
      <c r="L916" s="1">
        <v>73</v>
      </c>
      <c r="M916" s="1">
        <v>5</v>
      </c>
      <c r="N916" s="7">
        <f>IFERROR(Data[[#This Row],[Actual Time]]/Data[[#This Row],[QTY Complete]],"")</f>
        <v>14.6</v>
      </c>
      <c r="O916" s="7">
        <f>IF(I916=ProdFam[[#Headers],[Test]],(VLOOKUP(Data[[#This Row],[Product Family]],ProdFam[],3,FALSE)),(VLOOKUP(Data[[#This Row],[Product Family]],ProdFam[],2,FALSE)))</f>
        <v>24</v>
      </c>
    </row>
    <row r="917" spans="2:15" x14ac:dyDescent="0.25">
      <c r="B917" s="1">
        <f>WEEKNUM(Data[[#This Row],[Date]],1)</f>
        <v>2</v>
      </c>
      <c r="C917" s="15">
        <f>YEAR(Data[[#This Row],[Date]])</f>
        <v>2020</v>
      </c>
      <c r="D917" s="5">
        <v>43839</v>
      </c>
      <c r="E917" s="1" t="s">
        <v>119</v>
      </c>
      <c r="F917" s="1">
        <v>30164</v>
      </c>
      <c r="G917" s="1" t="s">
        <v>63</v>
      </c>
      <c r="H917" s="1" t="s">
        <v>115</v>
      </c>
      <c r="I917" s="1" t="s">
        <v>1</v>
      </c>
      <c r="J917" s="1">
        <v>10</v>
      </c>
      <c r="K917" s="1">
        <f>J917*(IF(I917=ProdFam[[#Headers],[Test]],(VLOOKUP(Data[[#This Row],[Product Family]],ProdFam[],3,FALSE)),(VLOOKUP(Data[[#This Row],[Product Family]],ProdFam[],2,FALSE))))</f>
        <v>240</v>
      </c>
      <c r="L917" s="1">
        <v>138</v>
      </c>
      <c r="M917" s="1">
        <v>10</v>
      </c>
      <c r="N917" s="7">
        <f>IFERROR(Data[[#This Row],[Actual Time]]/Data[[#This Row],[QTY Complete]],"")</f>
        <v>13.8</v>
      </c>
      <c r="O917" s="7">
        <f>IF(I917=ProdFam[[#Headers],[Test]],(VLOOKUP(Data[[#This Row],[Product Family]],ProdFam[],3,FALSE)),(VLOOKUP(Data[[#This Row],[Product Family]],ProdFam[],2,FALSE)))</f>
        <v>24</v>
      </c>
    </row>
    <row r="918" spans="2:15" x14ac:dyDescent="0.25">
      <c r="B918" s="1">
        <f>WEEKNUM(Data[[#This Row],[Date]],1)</f>
        <v>2</v>
      </c>
      <c r="C918" s="15">
        <f>YEAR(Data[[#This Row],[Date]])</f>
        <v>2020</v>
      </c>
      <c r="D918" s="5">
        <v>43839</v>
      </c>
      <c r="E918" s="1" t="s">
        <v>119</v>
      </c>
      <c r="F918" s="1">
        <v>30133</v>
      </c>
      <c r="G918" s="1" t="s">
        <v>28</v>
      </c>
      <c r="H918" s="1" t="s">
        <v>113</v>
      </c>
      <c r="I918" s="1" t="s">
        <v>0</v>
      </c>
      <c r="J918" s="1">
        <v>10</v>
      </c>
      <c r="K918" s="1">
        <f>J918*(IF(I918=ProdFam[[#Headers],[Test]],(VLOOKUP(Data[[#This Row],[Product Family]],ProdFam[],3,FALSE)),(VLOOKUP(Data[[#This Row],[Product Family]],ProdFam[],2,FALSE))))</f>
        <v>470</v>
      </c>
      <c r="L918" s="1">
        <v>220</v>
      </c>
      <c r="M918" s="1">
        <v>10</v>
      </c>
      <c r="N918" s="7">
        <f>IFERROR(Data[[#This Row],[Actual Time]]/Data[[#This Row],[QTY Complete]],"")</f>
        <v>22</v>
      </c>
      <c r="O918" s="7">
        <f>IF(I918=ProdFam[[#Headers],[Test]],(VLOOKUP(Data[[#This Row],[Product Family]],ProdFam[],3,FALSE)),(VLOOKUP(Data[[#This Row],[Product Family]],ProdFam[],2,FALSE)))</f>
        <v>47</v>
      </c>
    </row>
    <row r="919" spans="2:15" x14ac:dyDescent="0.25">
      <c r="B919" s="1">
        <f>WEEKNUM(Data[[#This Row],[Date]],1)</f>
        <v>2</v>
      </c>
      <c r="C919" s="15">
        <f>YEAR(Data[[#This Row],[Date]])</f>
        <v>2020</v>
      </c>
      <c r="D919" s="5">
        <v>43837</v>
      </c>
      <c r="E919" s="1" t="s">
        <v>119</v>
      </c>
      <c r="F919" s="1">
        <v>30158</v>
      </c>
      <c r="G919" s="1" t="s">
        <v>138</v>
      </c>
      <c r="H919" s="1" t="s">
        <v>115</v>
      </c>
      <c r="I919" s="1" t="s">
        <v>1</v>
      </c>
      <c r="J919" s="1">
        <v>13</v>
      </c>
      <c r="K919" s="1">
        <f>J919*(IF(I919=ProdFam[[#Headers],[Test]],(VLOOKUP(Data[[#This Row],[Product Family]],ProdFam[],3,FALSE)),(VLOOKUP(Data[[#This Row],[Product Family]],ProdFam[],2,FALSE))))</f>
        <v>312</v>
      </c>
      <c r="L919" s="1">
        <v>198</v>
      </c>
      <c r="M919" s="1">
        <v>13</v>
      </c>
      <c r="N919" s="7">
        <f>IFERROR(Data[[#This Row],[Actual Time]]/Data[[#This Row],[QTY Complete]],"")</f>
        <v>15.23076923076923</v>
      </c>
      <c r="O919" s="7">
        <f>IF(I919=ProdFam[[#Headers],[Test]],(VLOOKUP(Data[[#This Row],[Product Family]],ProdFam[],3,FALSE)),(VLOOKUP(Data[[#This Row],[Product Family]],ProdFam[],2,FALSE)))</f>
        <v>24</v>
      </c>
    </row>
    <row r="920" spans="2:15" x14ac:dyDescent="0.25">
      <c r="B920" s="1">
        <f>WEEKNUM(Data[[#This Row],[Date]],1)</f>
        <v>2</v>
      </c>
      <c r="C920" s="15">
        <f>YEAR(Data[[#This Row],[Date]])</f>
        <v>2020</v>
      </c>
      <c r="D920" s="5">
        <v>43837</v>
      </c>
      <c r="E920" s="1" t="s">
        <v>119</v>
      </c>
      <c r="F920" s="1">
        <v>29979</v>
      </c>
      <c r="G920" s="1" t="s">
        <v>48</v>
      </c>
      <c r="H920" s="1" t="s">
        <v>112</v>
      </c>
      <c r="I920" s="1" t="s">
        <v>0</v>
      </c>
      <c r="J920" s="1">
        <v>9</v>
      </c>
      <c r="K920" s="1">
        <f>J920*(IF(I920=ProdFam[[#Headers],[Test]],(VLOOKUP(Data[[#This Row],[Product Family]],ProdFam[],3,FALSE)),(VLOOKUP(Data[[#This Row],[Product Family]],ProdFam[],2,FALSE))))</f>
        <v>90</v>
      </c>
      <c r="L920" s="1">
        <v>237</v>
      </c>
      <c r="M920" s="1">
        <v>9</v>
      </c>
      <c r="N920" s="7">
        <f>IFERROR(Data[[#This Row],[Actual Time]]/Data[[#This Row],[QTY Complete]],"")</f>
        <v>26.333333333333332</v>
      </c>
      <c r="O920" s="7">
        <f>IF(I920=ProdFam[[#Headers],[Test]],(VLOOKUP(Data[[#This Row],[Product Family]],ProdFam[],3,FALSE)),(VLOOKUP(Data[[#This Row],[Product Family]],ProdFam[],2,FALSE)))</f>
        <v>10</v>
      </c>
    </row>
    <row r="921" spans="2:15" x14ac:dyDescent="0.25">
      <c r="B921" s="1">
        <f>WEEKNUM(Data[[#This Row],[Date]],1)</f>
        <v>3</v>
      </c>
      <c r="C921" s="15">
        <f>YEAR(Data[[#This Row],[Date]])</f>
        <v>2020</v>
      </c>
      <c r="D921" s="5">
        <v>43846</v>
      </c>
      <c r="E921" s="1" t="s">
        <v>119</v>
      </c>
      <c r="F921" s="1">
        <v>30318</v>
      </c>
      <c r="G921" s="1" t="s">
        <v>68</v>
      </c>
      <c r="H921" s="1" t="s">
        <v>112</v>
      </c>
      <c r="I921" s="1" t="s">
        <v>0</v>
      </c>
      <c r="J921" s="1">
        <v>3</v>
      </c>
      <c r="K921" s="1">
        <f>J921*(IF(I921=ProdFam[[#Headers],[Test]],(VLOOKUP(Data[[#This Row],[Product Family]],ProdFam[],3,FALSE)),(VLOOKUP(Data[[#This Row],[Product Family]],ProdFam[],2,FALSE))))</f>
        <v>30</v>
      </c>
      <c r="L921" s="1">
        <v>71</v>
      </c>
      <c r="M921" s="1">
        <v>3</v>
      </c>
      <c r="N921" s="7">
        <f>IFERROR(Data[[#This Row],[Actual Time]]/Data[[#This Row],[QTY Complete]],"")</f>
        <v>23.666666666666668</v>
      </c>
      <c r="O921" s="7">
        <f>IF(I921=ProdFam[[#Headers],[Test]],(VLOOKUP(Data[[#This Row],[Product Family]],ProdFam[],3,FALSE)),(VLOOKUP(Data[[#This Row],[Product Family]],ProdFam[],2,FALSE)))</f>
        <v>10</v>
      </c>
    </row>
    <row r="922" spans="2:15" x14ac:dyDescent="0.25">
      <c r="B922" s="1">
        <f>WEEKNUM(Data[[#This Row],[Date]],1)</f>
        <v>3</v>
      </c>
      <c r="C922" s="15">
        <f>YEAR(Data[[#This Row],[Date]])</f>
        <v>2020</v>
      </c>
      <c r="D922" s="5">
        <v>43846</v>
      </c>
      <c r="E922" s="1" t="s">
        <v>119</v>
      </c>
      <c r="F922" s="1">
        <v>30307</v>
      </c>
      <c r="G922" s="1" t="s">
        <v>18</v>
      </c>
      <c r="H922" s="1" t="s">
        <v>115</v>
      </c>
      <c r="I922" s="1" t="s">
        <v>1</v>
      </c>
      <c r="J922" s="1">
        <v>10</v>
      </c>
      <c r="K922" s="1">
        <f>J922*(IF(I922=ProdFam[[#Headers],[Test]],(VLOOKUP(Data[[#This Row],[Product Family]],ProdFam[],3,FALSE)),(VLOOKUP(Data[[#This Row],[Product Family]],ProdFam[],2,FALSE))))</f>
        <v>240</v>
      </c>
      <c r="L922" s="1">
        <v>420</v>
      </c>
      <c r="M922" s="1">
        <v>10</v>
      </c>
      <c r="N922" s="7">
        <f>IFERROR(Data[[#This Row],[Actual Time]]/Data[[#This Row],[QTY Complete]],"")</f>
        <v>42</v>
      </c>
      <c r="O922" s="7">
        <f>IF(I922=ProdFam[[#Headers],[Test]],(VLOOKUP(Data[[#This Row],[Product Family]],ProdFam[],3,FALSE)),(VLOOKUP(Data[[#This Row],[Product Family]],ProdFam[],2,FALSE)))</f>
        <v>24</v>
      </c>
    </row>
    <row r="923" spans="2:15" x14ac:dyDescent="0.25">
      <c r="B923" s="1">
        <f>WEEKNUM(Data[[#This Row],[Date]],1)</f>
        <v>3</v>
      </c>
      <c r="C923" s="15">
        <f>YEAR(Data[[#This Row],[Date]])</f>
        <v>2020</v>
      </c>
      <c r="D923" s="5">
        <v>43846</v>
      </c>
      <c r="E923" s="1" t="s">
        <v>119</v>
      </c>
      <c r="F923" s="1">
        <v>30302</v>
      </c>
      <c r="G923" s="1" t="s">
        <v>63</v>
      </c>
      <c r="H923" s="1" t="s">
        <v>115</v>
      </c>
      <c r="I923" s="1" t="s">
        <v>1</v>
      </c>
      <c r="J923" s="1">
        <v>15</v>
      </c>
      <c r="K923" s="1">
        <f>J923*(IF(I923=ProdFam[[#Headers],[Test]],(VLOOKUP(Data[[#This Row],[Product Family]],ProdFam[],3,FALSE)),(VLOOKUP(Data[[#This Row],[Product Family]],ProdFam[],2,FALSE))))</f>
        <v>360</v>
      </c>
      <c r="L923" s="1">
        <v>398</v>
      </c>
      <c r="M923" s="1">
        <v>15</v>
      </c>
      <c r="N923" s="7">
        <f>IFERROR(Data[[#This Row],[Actual Time]]/Data[[#This Row],[QTY Complete]],"")</f>
        <v>26.533333333333335</v>
      </c>
      <c r="O923" s="7">
        <f>IF(I923=ProdFam[[#Headers],[Test]],(VLOOKUP(Data[[#This Row],[Product Family]],ProdFam[],3,FALSE)),(VLOOKUP(Data[[#This Row],[Product Family]],ProdFam[],2,FALSE)))</f>
        <v>24</v>
      </c>
    </row>
    <row r="924" spans="2:15" x14ac:dyDescent="0.25">
      <c r="B924" s="1">
        <f>WEEKNUM(Data[[#This Row],[Date]],1)</f>
        <v>3</v>
      </c>
      <c r="C924" s="15">
        <f>YEAR(Data[[#This Row],[Date]])</f>
        <v>2020</v>
      </c>
      <c r="D924" s="5">
        <v>43846</v>
      </c>
      <c r="E924" s="1" t="s">
        <v>119</v>
      </c>
      <c r="F924" s="1">
        <v>30299</v>
      </c>
      <c r="G924" s="1" t="s">
        <v>43</v>
      </c>
      <c r="H924" s="1" t="s">
        <v>115</v>
      </c>
      <c r="I924" s="1" t="s">
        <v>1</v>
      </c>
      <c r="J924" s="1">
        <v>3</v>
      </c>
      <c r="K924" s="1">
        <f>J924*(IF(I924=ProdFam[[#Headers],[Test]],(VLOOKUP(Data[[#This Row],[Product Family]],ProdFam[],3,FALSE)),(VLOOKUP(Data[[#This Row],[Product Family]],ProdFam[],2,FALSE))))</f>
        <v>72</v>
      </c>
      <c r="L924" s="1">
        <v>61</v>
      </c>
      <c r="M924" s="1">
        <v>3</v>
      </c>
      <c r="N924" s="7">
        <f>IFERROR(Data[[#This Row],[Actual Time]]/Data[[#This Row],[QTY Complete]],"")</f>
        <v>20.333333333333332</v>
      </c>
      <c r="O924" s="7">
        <f>IF(I924=ProdFam[[#Headers],[Test]],(VLOOKUP(Data[[#This Row],[Product Family]],ProdFam[],3,FALSE)),(VLOOKUP(Data[[#This Row],[Product Family]],ProdFam[],2,FALSE)))</f>
        <v>24</v>
      </c>
    </row>
    <row r="925" spans="2:15" x14ac:dyDescent="0.25">
      <c r="B925" s="1">
        <f>WEEKNUM(Data[[#This Row],[Date]],1)</f>
        <v>3</v>
      </c>
      <c r="C925" s="15">
        <f>YEAR(Data[[#This Row],[Date]])</f>
        <v>2020</v>
      </c>
      <c r="D925" s="5">
        <v>43846</v>
      </c>
      <c r="E925" s="1" t="s">
        <v>119</v>
      </c>
      <c r="F925" s="1">
        <v>30186</v>
      </c>
      <c r="G925" s="1" t="s">
        <v>181</v>
      </c>
      <c r="H925" s="1" t="s">
        <v>113</v>
      </c>
      <c r="I925" s="1" t="s">
        <v>0</v>
      </c>
      <c r="J925" s="1">
        <v>1</v>
      </c>
      <c r="K925" s="1">
        <f>J925*(IF(I925=ProdFam[[#Headers],[Test]],(VLOOKUP(Data[[#This Row],[Product Family]],ProdFam[],3,FALSE)),(VLOOKUP(Data[[#This Row],[Product Family]],ProdFam[],2,FALSE))))</f>
        <v>47</v>
      </c>
      <c r="L925" s="1">
        <v>225</v>
      </c>
      <c r="M925" s="1">
        <v>1</v>
      </c>
      <c r="N925" s="7">
        <f>IFERROR(Data[[#This Row],[Actual Time]]/Data[[#This Row],[QTY Complete]],"")</f>
        <v>225</v>
      </c>
      <c r="O925" s="7">
        <f>IF(I925=ProdFam[[#Headers],[Test]],(VLOOKUP(Data[[#This Row],[Product Family]],ProdFam[],3,FALSE)),(VLOOKUP(Data[[#This Row],[Product Family]],ProdFam[],2,FALSE)))</f>
        <v>47</v>
      </c>
    </row>
    <row r="926" spans="2:15" x14ac:dyDescent="0.25">
      <c r="B926" s="1">
        <f>WEEKNUM(Data[[#This Row],[Date]],1)</f>
        <v>3</v>
      </c>
      <c r="C926" s="15">
        <f>YEAR(Data[[#This Row],[Date]])</f>
        <v>2020</v>
      </c>
      <c r="D926" s="5">
        <v>43846</v>
      </c>
      <c r="E926" s="1" t="s">
        <v>119</v>
      </c>
      <c r="F926" s="1">
        <v>30317</v>
      </c>
      <c r="G926" s="1" t="s">
        <v>78</v>
      </c>
      <c r="H926" s="1" t="s">
        <v>113</v>
      </c>
      <c r="I926" s="1" t="s">
        <v>0</v>
      </c>
      <c r="J926" s="1">
        <v>5</v>
      </c>
      <c r="K926" s="1">
        <f>J926*(IF(I926=ProdFam[[#Headers],[Test]],(VLOOKUP(Data[[#This Row],[Product Family]],ProdFam[],3,FALSE)),(VLOOKUP(Data[[#This Row],[Product Family]],ProdFam[],2,FALSE))))</f>
        <v>235</v>
      </c>
      <c r="L926" s="1">
        <v>225</v>
      </c>
      <c r="M926" s="1">
        <v>5</v>
      </c>
      <c r="N926" s="7">
        <f>IFERROR(Data[[#This Row],[Actual Time]]/Data[[#This Row],[QTY Complete]],"")</f>
        <v>45</v>
      </c>
      <c r="O926" s="7">
        <f>IF(I926=ProdFam[[#Headers],[Test]],(VLOOKUP(Data[[#This Row],[Product Family]],ProdFam[],3,FALSE)),(VLOOKUP(Data[[#This Row],[Product Family]],ProdFam[],2,FALSE)))</f>
        <v>47</v>
      </c>
    </row>
    <row r="927" spans="2:15" x14ac:dyDescent="0.25">
      <c r="B927" s="1">
        <f>WEEKNUM(Data[[#This Row],[Date]],1)</f>
        <v>3</v>
      </c>
      <c r="C927" s="15">
        <f>YEAR(Data[[#This Row],[Date]])</f>
        <v>2020</v>
      </c>
      <c r="D927" s="5">
        <v>43846</v>
      </c>
      <c r="E927" s="1" t="s">
        <v>119</v>
      </c>
      <c r="F927" s="1">
        <v>30298</v>
      </c>
      <c r="G927" s="1" t="s">
        <v>51</v>
      </c>
      <c r="H927" s="1" t="s">
        <v>113</v>
      </c>
      <c r="I927" s="1" t="s">
        <v>0</v>
      </c>
      <c r="J927" s="1">
        <v>5</v>
      </c>
      <c r="K927" s="1">
        <f>J927*(IF(I927=ProdFam[[#Headers],[Test]],(VLOOKUP(Data[[#This Row],[Product Family]],ProdFam[],3,FALSE)),(VLOOKUP(Data[[#This Row],[Product Family]],ProdFam[],2,FALSE))))</f>
        <v>235</v>
      </c>
      <c r="L927" s="1">
        <v>190</v>
      </c>
      <c r="M927" s="1">
        <v>5</v>
      </c>
      <c r="N927" s="7">
        <f>IFERROR(Data[[#This Row],[Actual Time]]/Data[[#This Row],[QTY Complete]],"")</f>
        <v>38</v>
      </c>
      <c r="O927" s="7">
        <f>IF(I927=ProdFam[[#Headers],[Test]],(VLOOKUP(Data[[#This Row],[Product Family]],ProdFam[],3,FALSE)),(VLOOKUP(Data[[#This Row],[Product Family]],ProdFam[],2,FALSE)))</f>
        <v>47</v>
      </c>
    </row>
    <row r="928" spans="2:15" x14ac:dyDescent="0.25">
      <c r="B928" s="1">
        <f>WEEKNUM(Data[[#This Row],[Date]],1)</f>
        <v>3</v>
      </c>
      <c r="C928" s="15">
        <f>YEAR(Data[[#This Row],[Date]])</f>
        <v>2020</v>
      </c>
      <c r="D928" s="5">
        <v>43845</v>
      </c>
      <c r="E928" s="1" t="s">
        <v>131</v>
      </c>
      <c r="F928" s="1">
        <v>30173</v>
      </c>
      <c r="G928" s="1" t="s">
        <v>26</v>
      </c>
      <c r="H928" s="1" t="s">
        <v>113</v>
      </c>
      <c r="I928" s="1" t="s">
        <v>0</v>
      </c>
      <c r="J928" s="1">
        <v>10</v>
      </c>
      <c r="K928" s="1">
        <f>J928*(IF(I928=ProdFam[[#Headers],[Test]],(VLOOKUP(Data[[#This Row],[Product Family]],ProdFam[],3,FALSE)),(VLOOKUP(Data[[#This Row],[Product Family]],ProdFam[],2,FALSE))))</f>
        <v>470</v>
      </c>
      <c r="L928" s="1">
        <v>241</v>
      </c>
      <c r="M928" s="1">
        <v>10</v>
      </c>
      <c r="N928" s="7">
        <f>IFERROR(Data[[#This Row],[Actual Time]]/Data[[#This Row],[QTY Complete]],"")</f>
        <v>24.1</v>
      </c>
      <c r="O928" s="7">
        <f>IF(I928=ProdFam[[#Headers],[Test]],(VLOOKUP(Data[[#This Row],[Product Family]],ProdFam[],3,FALSE)),(VLOOKUP(Data[[#This Row],[Product Family]],ProdFam[],2,FALSE)))</f>
        <v>47</v>
      </c>
    </row>
    <row r="929" spans="2:15" x14ac:dyDescent="0.25">
      <c r="B929" s="1">
        <f>WEEKNUM(Data[[#This Row],[Date]],1)</f>
        <v>3</v>
      </c>
      <c r="C929" s="15">
        <f>YEAR(Data[[#This Row],[Date]])</f>
        <v>2020</v>
      </c>
      <c r="D929" s="5">
        <v>43846</v>
      </c>
      <c r="E929" s="1" t="s">
        <v>118</v>
      </c>
      <c r="F929" s="1">
        <v>30308</v>
      </c>
      <c r="G929" s="1" t="s">
        <v>69</v>
      </c>
      <c r="H929" s="1" t="s">
        <v>129</v>
      </c>
      <c r="I929" s="1" t="s">
        <v>0</v>
      </c>
      <c r="J929" s="1">
        <v>6</v>
      </c>
      <c r="K929" s="1">
        <f>J929*(IF(I929=ProdFam[[#Headers],[Test]],(VLOOKUP(Data[[#This Row],[Product Family]],ProdFam[],3,FALSE)),(VLOOKUP(Data[[#This Row],[Product Family]],ProdFam[],2,FALSE))))</f>
        <v>108</v>
      </c>
      <c r="L929" s="1">
        <v>240</v>
      </c>
      <c r="M929" s="1">
        <v>6</v>
      </c>
      <c r="N929" s="7">
        <f>IFERROR(Data[[#This Row],[Actual Time]]/Data[[#This Row],[QTY Complete]],"")</f>
        <v>40</v>
      </c>
      <c r="O929" s="7">
        <f>IF(I929=ProdFam[[#Headers],[Test]],(VLOOKUP(Data[[#This Row],[Product Family]],ProdFam[],3,FALSE)),(VLOOKUP(Data[[#This Row],[Product Family]],ProdFam[],2,FALSE)))</f>
        <v>18</v>
      </c>
    </row>
    <row r="930" spans="2:15" x14ac:dyDescent="0.25">
      <c r="B930" s="1">
        <f>WEEKNUM(Data[[#This Row],[Date]],1)</f>
        <v>3</v>
      </c>
      <c r="C930" s="15">
        <f>YEAR(Data[[#This Row],[Date]])</f>
        <v>2020</v>
      </c>
      <c r="D930" s="5">
        <v>43846</v>
      </c>
      <c r="E930" s="1" t="s">
        <v>118</v>
      </c>
      <c r="F930" s="1">
        <v>30173</v>
      </c>
      <c r="G930" s="1" t="s">
        <v>26</v>
      </c>
      <c r="H930" s="1" t="s">
        <v>113</v>
      </c>
      <c r="I930" s="1" t="s">
        <v>0</v>
      </c>
      <c r="J930" s="1">
        <v>10</v>
      </c>
      <c r="K930" s="1">
        <f>J930*(IF(I930=ProdFam[[#Headers],[Test]],(VLOOKUP(Data[[#This Row],[Product Family]],ProdFam[],3,FALSE)),(VLOOKUP(Data[[#This Row],[Product Family]],ProdFam[],2,FALSE))))</f>
        <v>470</v>
      </c>
      <c r="L930" s="1">
        <v>218</v>
      </c>
      <c r="M930" s="1">
        <v>10</v>
      </c>
      <c r="N930" s="7">
        <f>IFERROR(Data[[#This Row],[Actual Time]]/Data[[#This Row],[QTY Complete]],"")</f>
        <v>21.8</v>
      </c>
      <c r="O930" s="7">
        <f>IF(I930=ProdFam[[#Headers],[Test]],(VLOOKUP(Data[[#This Row],[Product Family]],ProdFam[],3,FALSE)),(VLOOKUP(Data[[#This Row],[Product Family]],ProdFam[],2,FALSE)))</f>
        <v>47</v>
      </c>
    </row>
    <row r="931" spans="2:15" x14ac:dyDescent="0.25">
      <c r="B931" s="1">
        <f>WEEKNUM(Data[[#This Row],[Date]],1)</f>
        <v>3</v>
      </c>
      <c r="C931" s="15">
        <f>YEAR(Data[[#This Row],[Date]])</f>
        <v>2020</v>
      </c>
      <c r="D931" s="5">
        <v>43847</v>
      </c>
      <c r="E931" s="1" t="s">
        <v>128</v>
      </c>
      <c r="F931" s="1">
        <v>30287</v>
      </c>
      <c r="G931" s="1" t="s">
        <v>22</v>
      </c>
      <c r="H931" s="1" t="s">
        <v>112</v>
      </c>
      <c r="I931" s="1" t="s">
        <v>0</v>
      </c>
      <c r="J931" s="1">
        <v>5</v>
      </c>
      <c r="K931" s="1">
        <f>J931*(IF(I931=ProdFam[[#Headers],[Test]],(VLOOKUP(Data[[#This Row],[Product Family]],ProdFam[],3,FALSE)),(VLOOKUP(Data[[#This Row],[Product Family]],ProdFam[],2,FALSE))))</f>
        <v>50</v>
      </c>
      <c r="L931" s="1">
        <v>280</v>
      </c>
      <c r="M931" s="1">
        <v>5</v>
      </c>
      <c r="N931" s="7">
        <f>IFERROR(Data[[#This Row],[Actual Time]]/Data[[#This Row],[QTY Complete]],"")</f>
        <v>56</v>
      </c>
      <c r="O931" s="7">
        <f>IF(I931=ProdFam[[#Headers],[Test]],(VLOOKUP(Data[[#This Row],[Product Family]],ProdFam[],3,FALSE)),(VLOOKUP(Data[[#This Row],[Product Family]],ProdFam[],2,FALSE)))</f>
        <v>10</v>
      </c>
    </row>
    <row r="932" spans="2:15" x14ac:dyDescent="0.25">
      <c r="B932" s="1">
        <f>WEEKNUM(Data[[#This Row],[Date]],1)</f>
        <v>3</v>
      </c>
      <c r="C932" s="15">
        <f>YEAR(Data[[#This Row],[Date]])</f>
        <v>2020</v>
      </c>
      <c r="D932" s="5">
        <v>43847</v>
      </c>
      <c r="E932" s="1" t="s">
        <v>128</v>
      </c>
      <c r="F932" s="1">
        <v>30332</v>
      </c>
      <c r="G932" s="1" t="s">
        <v>68</v>
      </c>
      <c r="H932" s="1" t="s">
        <v>112</v>
      </c>
      <c r="I932" s="1" t="s">
        <v>0</v>
      </c>
      <c r="J932" s="1">
        <v>3</v>
      </c>
      <c r="K932" s="1">
        <f>J932*(IF(I932=ProdFam[[#Headers],[Test]],(VLOOKUP(Data[[#This Row],[Product Family]],ProdFam[],3,FALSE)),(VLOOKUP(Data[[#This Row],[Product Family]],ProdFam[],2,FALSE))))</f>
        <v>30</v>
      </c>
      <c r="L932" s="1">
        <v>61</v>
      </c>
      <c r="M932" s="1">
        <v>3</v>
      </c>
      <c r="N932" s="7">
        <f>IFERROR(Data[[#This Row],[Actual Time]]/Data[[#This Row],[QTY Complete]],"")</f>
        <v>20.333333333333332</v>
      </c>
      <c r="O932" s="7">
        <f>IF(I932=ProdFam[[#Headers],[Test]],(VLOOKUP(Data[[#This Row],[Product Family]],ProdFam[],3,FALSE)),(VLOOKUP(Data[[#This Row],[Product Family]],ProdFam[],2,FALSE)))</f>
        <v>10</v>
      </c>
    </row>
    <row r="933" spans="2:15" x14ac:dyDescent="0.25">
      <c r="B933" s="1">
        <f>WEEKNUM(Data[[#This Row],[Date]],1)</f>
        <v>3</v>
      </c>
      <c r="C933" s="15">
        <f>YEAR(Data[[#This Row],[Date]])</f>
        <v>2020</v>
      </c>
      <c r="D933" s="5">
        <v>43847</v>
      </c>
      <c r="E933" s="1" t="s">
        <v>111</v>
      </c>
      <c r="F933" s="1">
        <v>30226</v>
      </c>
      <c r="G933" s="1" t="s">
        <v>147</v>
      </c>
      <c r="H933" s="1" t="s">
        <v>115</v>
      </c>
      <c r="I933" s="1" t="s">
        <v>1</v>
      </c>
      <c r="J933" s="1">
        <v>4</v>
      </c>
      <c r="K933" s="1">
        <f>J933*(IF(I933=ProdFam[[#Headers],[Test]],(VLOOKUP(Data[[#This Row],[Product Family]],ProdFam[],3,FALSE)),(VLOOKUP(Data[[#This Row],[Product Family]],ProdFam[],2,FALSE))))</f>
        <v>96</v>
      </c>
      <c r="L933" s="1">
        <v>191</v>
      </c>
      <c r="M933" s="1">
        <v>4</v>
      </c>
      <c r="N933" s="7">
        <f>IFERROR(Data[[#This Row],[Actual Time]]/Data[[#This Row],[QTY Complete]],"")</f>
        <v>47.75</v>
      </c>
      <c r="O933" s="7">
        <f>IF(I933=ProdFam[[#Headers],[Test]],(VLOOKUP(Data[[#This Row],[Product Family]],ProdFam[],3,FALSE)),(VLOOKUP(Data[[#This Row],[Product Family]],ProdFam[],2,FALSE)))</f>
        <v>24</v>
      </c>
    </row>
    <row r="934" spans="2:15" x14ac:dyDescent="0.25">
      <c r="B934" s="1">
        <f>WEEKNUM(Data[[#This Row],[Date]],1)</f>
        <v>3</v>
      </c>
      <c r="C934" s="15">
        <f>YEAR(Data[[#This Row],[Date]])</f>
        <v>2020</v>
      </c>
      <c r="D934" s="5">
        <v>43847</v>
      </c>
      <c r="E934" s="1" t="s">
        <v>118</v>
      </c>
      <c r="F934" s="1">
        <v>30219</v>
      </c>
      <c r="G934" s="1" t="s">
        <v>182</v>
      </c>
      <c r="H934" s="1" t="s">
        <v>113</v>
      </c>
      <c r="I934" s="1" t="s">
        <v>0</v>
      </c>
      <c r="J934" s="1">
        <v>2</v>
      </c>
      <c r="K934" s="1">
        <f>J934*(IF(I934=ProdFam[[#Headers],[Test]],(VLOOKUP(Data[[#This Row],[Product Family]],ProdFam[],3,FALSE)),(VLOOKUP(Data[[#This Row],[Product Family]],ProdFam[],2,FALSE))))</f>
        <v>94</v>
      </c>
      <c r="L934" s="1">
        <v>44</v>
      </c>
      <c r="M934" s="1">
        <v>2</v>
      </c>
      <c r="N934" s="7">
        <f>IFERROR(Data[[#This Row],[Actual Time]]/Data[[#This Row],[QTY Complete]],"")</f>
        <v>22</v>
      </c>
      <c r="O934" s="7">
        <f>IF(I934=ProdFam[[#Headers],[Test]],(VLOOKUP(Data[[#This Row],[Product Family]],ProdFam[],3,FALSE)),(VLOOKUP(Data[[#This Row],[Product Family]],ProdFam[],2,FALSE)))</f>
        <v>47</v>
      </c>
    </row>
    <row r="935" spans="2:15" x14ac:dyDescent="0.25">
      <c r="B935" s="1">
        <f>WEEKNUM(Data[[#This Row],[Date]],1)</f>
        <v>3</v>
      </c>
      <c r="C935" s="15">
        <f>YEAR(Data[[#This Row],[Date]])</f>
        <v>2020</v>
      </c>
      <c r="D935" s="5">
        <v>43847</v>
      </c>
      <c r="E935" s="1" t="s">
        <v>118</v>
      </c>
      <c r="F935" s="1">
        <v>30224</v>
      </c>
      <c r="G935" s="1" t="s">
        <v>26</v>
      </c>
      <c r="H935" s="1" t="s">
        <v>113</v>
      </c>
      <c r="I935" s="1" t="s">
        <v>0</v>
      </c>
      <c r="J935" s="1">
        <v>10</v>
      </c>
      <c r="K935" s="1">
        <f>J935*(IF(I935=ProdFam[[#Headers],[Test]],(VLOOKUP(Data[[#This Row],[Product Family]],ProdFam[],3,FALSE)),(VLOOKUP(Data[[#This Row],[Product Family]],ProdFam[],2,FALSE))))</f>
        <v>470</v>
      </c>
      <c r="L935" s="1">
        <v>444</v>
      </c>
      <c r="M935" s="1">
        <v>10</v>
      </c>
      <c r="N935" s="7">
        <f>IFERROR(Data[[#This Row],[Actual Time]]/Data[[#This Row],[QTY Complete]],"")</f>
        <v>44.4</v>
      </c>
      <c r="O935" s="7">
        <f>IF(I935=ProdFam[[#Headers],[Test]],(VLOOKUP(Data[[#This Row],[Product Family]],ProdFam[],3,FALSE)),(VLOOKUP(Data[[#This Row],[Product Family]],ProdFam[],2,FALSE)))</f>
        <v>47</v>
      </c>
    </row>
    <row r="936" spans="2:15" x14ac:dyDescent="0.25">
      <c r="B936" s="1">
        <f>WEEKNUM(Data[[#This Row],[Date]],1)</f>
        <v>3</v>
      </c>
      <c r="C936" s="15">
        <f>YEAR(Data[[#This Row],[Date]])</f>
        <v>2020</v>
      </c>
      <c r="D936" s="5">
        <v>43847</v>
      </c>
      <c r="E936" s="1" t="s">
        <v>131</v>
      </c>
      <c r="F936" s="1">
        <v>30172</v>
      </c>
      <c r="G936" s="1" t="s">
        <v>167</v>
      </c>
      <c r="H936" s="1" t="s">
        <v>113</v>
      </c>
      <c r="I936" s="1" t="s">
        <v>0</v>
      </c>
      <c r="J936" s="1">
        <v>6</v>
      </c>
      <c r="K936" s="1">
        <f>J936*(IF(I936=ProdFam[[#Headers],[Test]],(VLOOKUP(Data[[#This Row],[Product Family]],ProdFam[],3,FALSE)),(VLOOKUP(Data[[#This Row],[Product Family]],ProdFam[],2,FALSE))))</f>
        <v>282</v>
      </c>
      <c r="L936" s="1">
        <v>331</v>
      </c>
      <c r="M936" s="1">
        <v>6</v>
      </c>
      <c r="N936" s="7">
        <f>IFERROR(Data[[#This Row],[Actual Time]]/Data[[#This Row],[QTY Complete]],"")</f>
        <v>55.166666666666664</v>
      </c>
      <c r="O936" s="7">
        <f>IF(I936=ProdFam[[#Headers],[Test]],(VLOOKUP(Data[[#This Row],[Product Family]],ProdFam[],3,FALSE)),(VLOOKUP(Data[[#This Row],[Product Family]],ProdFam[],2,FALSE)))</f>
        <v>47</v>
      </c>
    </row>
    <row r="937" spans="2:15" x14ac:dyDescent="0.25">
      <c r="B937" s="1">
        <f>WEEKNUM(Data[[#This Row],[Date]],1)</f>
        <v>3</v>
      </c>
      <c r="C937" s="15">
        <f>YEAR(Data[[#This Row],[Date]])</f>
        <v>2020</v>
      </c>
      <c r="D937" s="5">
        <v>43847</v>
      </c>
      <c r="E937" s="1" t="s">
        <v>119</v>
      </c>
      <c r="F937" s="1">
        <v>30289</v>
      </c>
      <c r="G937" s="1" t="s">
        <v>11</v>
      </c>
      <c r="H937" s="1" t="s">
        <v>113</v>
      </c>
      <c r="I937" s="1" t="s">
        <v>0</v>
      </c>
      <c r="J937" s="1">
        <v>5</v>
      </c>
      <c r="K937" s="1">
        <f>J937*(IF(I937=ProdFam[[#Headers],[Test]],(VLOOKUP(Data[[#This Row],[Product Family]],ProdFam[],3,FALSE)),(VLOOKUP(Data[[#This Row],[Product Family]],ProdFam[],2,FALSE))))</f>
        <v>235</v>
      </c>
      <c r="L937" s="1">
        <v>215</v>
      </c>
      <c r="M937" s="1">
        <v>5</v>
      </c>
      <c r="N937" s="7">
        <f>IFERROR(Data[[#This Row],[Actual Time]]/Data[[#This Row],[QTY Complete]],"")</f>
        <v>43</v>
      </c>
      <c r="O937" s="7">
        <f>IF(I937=ProdFam[[#Headers],[Test]],(VLOOKUP(Data[[#This Row],[Product Family]],ProdFam[],3,FALSE)),(VLOOKUP(Data[[#This Row],[Product Family]],ProdFam[],2,FALSE)))</f>
        <v>47</v>
      </c>
    </row>
    <row r="938" spans="2:15" x14ac:dyDescent="0.25">
      <c r="B938" s="1">
        <f>WEEKNUM(Data[[#This Row],[Date]],1)</f>
        <v>3</v>
      </c>
      <c r="C938" s="15">
        <f>YEAR(Data[[#This Row],[Date]])</f>
        <v>2020</v>
      </c>
      <c r="D938" s="5">
        <v>43847</v>
      </c>
      <c r="E938" s="1" t="s">
        <v>119</v>
      </c>
      <c r="F938" s="1">
        <v>30301</v>
      </c>
      <c r="G938" s="1" t="s">
        <v>44</v>
      </c>
      <c r="H938" s="1" t="s">
        <v>113</v>
      </c>
      <c r="I938" s="1" t="s">
        <v>0</v>
      </c>
      <c r="J938" s="1">
        <v>6</v>
      </c>
      <c r="K938" s="1">
        <f>J938*(IF(I938=ProdFam[[#Headers],[Test]],(VLOOKUP(Data[[#This Row],[Product Family]],ProdFam[],3,FALSE)),(VLOOKUP(Data[[#This Row],[Product Family]],ProdFam[],2,FALSE))))</f>
        <v>282</v>
      </c>
      <c r="L938" s="1">
        <v>186</v>
      </c>
      <c r="M938" s="1">
        <v>6</v>
      </c>
      <c r="N938" s="7">
        <f>IFERROR(Data[[#This Row],[Actual Time]]/Data[[#This Row],[QTY Complete]],"")</f>
        <v>31</v>
      </c>
      <c r="O938" s="7">
        <f>IF(I938=ProdFam[[#Headers],[Test]],(VLOOKUP(Data[[#This Row],[Product Family]],ProdFam[],3,FALSE)),(VLOOKUP(Data[[#This Row],[Product Family]],ProdFam[],2,FALSE)))</f>
        <v>47</v>
      </c>
    </row>
    <row r="939" spans="2:15" x14ac:dyDescent="0.25">
      <c r="B939" s="1">
        <f>WEEKNUM(Data[[#This Row],[Date]],1)</f>
        <v>3</v>
      </c>
      <c r="C939" s="15">
        <f>YEAR(Data[[#This Row],[Date]])</f>
        <v>2020</v>
      </c>
      <c r="D939" s="5">
        <v>43847</v>
      </c>
      <c r="E939" s="1" t="s">
        <v>111</v>
      </c>
      <c r="F939" s="1">
        <v>30070</v>
      </c>
      <c r="G939" s="1" t="s">
        <v>8</v>
      </c>
      <c r="H939" s="1" t="s">
        <v>112</v>
      </c>
      <c r="I939" s="1" t="s">
        <v>1</v>
      </c>
      <c r="J939" s="1">
        <v>21</v>
      </c>
      <c r="K939" s="1">
        <f>J939*(IF(I939=ProdFam[[#Headers],[Test]],(VLOOKUP(Data[[#This Row],[Product Family]],ProdFam[],3,FALSE)),(VLOOKUP(Data[[#This Row],[Product Family]],ProdFam[],2,FALSE))))</f>
        <v>210</v>
      </c>
      <c r="L939" s="1">
        <v>114</v>
      </c>
      <c r="M939" s="1">
        <v>21</v>
      </c>
      <c r="N939" s="7">
        <f>IFERROR(Data[[#This Row],[Actual Time]]/Data[[#This Row],[QTY Complete]],"")</f>
        <v>5.4285714285714288</v>
      </c>
      <c r="O939" s="7">
        <f>IF(I939=ProdFam[[#Headers],[Test]],(VLOOKUP(Data[[#This Row],[Product Family]],ProdFam[],3,FALSE)),(VLOOKUP(Data[[#This Row],[Product Family]],ProdFam[],2,FALSE)))</f>
        <v>10</v>
      </c>
    </row>
    <row r="940" spans="2:15" x14ac:dyDescent="0.25">
      <c r="B940" s="1">
        <f>WEEKNUM(Data[[#This Row],[Date]],1)</f>
        <v>3</v>
      </c>
      <c r="C940" s="15">
        <f>YEAR(Data[[#This Row],[Date]])</f>
        <v>2020</v>
      </c>
      <c r="D940" s="5">
        <v>43847</v>
      </c>
      <c r="E940" s="1" t="s">
        <v>111</v>
      </c>
      <c r="F940" s="1">
        <v>30287</v>
      </c>
      <c r="G940" s="1" t="s">
        <v>22</v>
      </c>
      <c r="H940" s="1" t="s">
        <v>112</v>
      </c>
      <c r="I940" s="1" t="s">
        <v>1</v>
      </c>
      <c r="J940" s="1">
        <v>9</v>
      </c>
      <c r="K940" s="1">
        <f>J940*(IF(I940=ProdFam[[#Headers],[Test]],(VLOOKUP(Data[[#This Row],[Product Family]],ProdFam[],3,FALSE)),(VLOOKUP(Data[[#This Row],[Product Family]],ProdFam[],2,FALSE))))</f>
        <v>90</v>
      </c>
      <c r="L940" s="1">
        <v>143</v>
      </c>
      <c r="M940" s="1">
        <v>9</v>
      </c>
      <c r="N940" s="7">
        <f>IFERROR(Data[[#This Row],[Actual Time]]/Data[[#This Row],[QTY Complete]],"")</f>
        <v>15.888888888888889</v>
      </c>
      <c r="O940" s="7">
        <f>IF(I940=ProdFam[[#Headers],[Test]],(VLOOKUP(Data[[#This Row],[Product Family]],ProdFam[],3,FALSE)),(VLOOKUP(Data[[#This Row],[Product Family]],ProdFam[],2,FALSE)))</f>
        <v>10</v>
      </c>
    </row>
    <row r="941" spans="2:15" x14ac:dyDescent="0.25">
      <c r="B941" s="1">
        <f>WEEKNUM(Data[[#This Row],[Date]],1)</f>
        <v>3</v>
      </c>
      <c r="C941" s="15">
        <f>YEAR(Data[[#This Row],[Date]])</f>
        <v>2020</v>
      </c>
      <c r="D941" s="5">
        <v>43847</v>
      </c>
      <c r="E941" s="1" t="s">
        <v>111</v>
      </c>
      <c r="F941" s="1">
        <v>30318</v>
      </c>
      <c r="G941" s="1" t="s">
        <v>68</v>
      </c>
      <c r="H941" s="1" t="s">
        <v>112</v>
      </c>
      <c r="I941" s="1" t="s">
        <v>1</v>
      </c>
      <c r="J941" s="1">
        <v>3</v>
      </c>
      <c r="K941" s="1">
        <f>J941*(IF(I941=ProdFam[[#Headers],[Test]],(VLOOKUP(Data[[#This Row],[Product Family]],ProdFam[],3,FALSE)),(VLOOKUP(Data[[#This Row],[Product Family]],ProdFam[],2,FALSE))))</f>
        <v>30</v>
      </c>
      <c r="L941" s="1">
        <v>19</v>
      </c>
      <c r="M941" s="1">
        <v>3</v>
      </c>
      <c r="N941" s="7">
        <f>IFERROR(Data[[#This Row],[Actual Time]]/Data[[#This Row],[QTY Complete]],"")</f>
        <v>6.333333333333333</v>
      </c>
      <c r="O941" s="7">
        <f>IF(I941=ProdFam[[#Headers],[Test]],(VLOOKUP(Data[[#This Row],[Product Family]],ProdFam[],3,FALSE)),(VLOOKUP(Data[[#This Row],[Product Family]],ProdFam[],2,FALSE)))</f>
        <v>10</v>
      </c>
    </row>
    <row r="942" spans="2:15" x14ac:dyDescent="0.25">
      <c r="B942" s="1">
        <f>WEEKNUM(Data[[#This Row],[Date]],1)</f>
        <v>3</v>
      </c>
      <c r="C942" s="15">
        <f>YEAR(Data[[#This Row],[Date]])</f>
        <v>2020</v>
      </c>
      <c r="D942" s="5">
        <v>43847</v>
      </c>
      <c r="E942" s="1" t="s">
        <v>111</v>
      </c>
      <c r="F942" s="1">
        <v>30332</v>
      </c>
      <c r="G942" s="1" t="s">
        <v>68</v>
      </c>
      <c r="H942" s="1" t="s">
        <v>112</v>
      </c>
      <c r="I942" s="1" t="s">
        <v>1</v>
      </c>
      <c r="J942" s="1">
        <v>3</v>
      </c>
      <c r="K942" s="1">
        <f>J942*(IF(I942=ProdFam[[#Headers],[Test]],(VLOOKUP(Data[[#This Row],[Product Family]],ProdFam[],3,FALSE)),(VLOOKUP(Data[[#This Row],[Product Family]],ProdFam[],2,FALSE))))</f>
        <v>30</v>
      </c>
      <c r="L942" s="1">
        <v>67</v>
      </c>
      <c r="M942" s="1">
        <v>3</v>
      </c>
      <c r="N942" s="7">
        <f>IFERROR(Data[[#This Row],[Actual Time]]/Data[[#This Row],[QTY Complete]],"")</f>
        <v>22.333333333333332</v>
      </c>
      <c r="O942" s="7">
        <f>IF(I942=ProdFam[[#Headers],[Test]],(VLOOKUP(Data[[#This Row],[Product Family]],ProdFam[],3,FALSE)),(VLOOKUP(Data[[#This Row],[Product Family]],ProdFam[],2,FALSE)))</f>
        <v>10</v>
      </c>
    </row>
    <row r="943" spans="2:15" x14ac:dyDescent="0.25">
      <c r="B943" s="1">
        <f>WEEKNUM(Data[[#This Row],[Date]],1)</f>
        <v>3</v>
      </c>
      <c r="C943" s="15">
        <f>YEAR(Data[[#This Row],[Date]])</f>
        <v>2020</v>
      </c>
      <c r="D943" s="5">
        <v>43847</v>
      </c>
      <c r="E943" s="1" t="s">
        <v>117</v>
      </c>
      <c r="F943" s="1">
        <v>30218</v>
      </c>
      <c r="G943" s="1" t="s">
        <v>11</v>
      </c>
      <c r="H943" s="1" t="s">
        <v>113</v>
      </c>
      <c r="I943" s="1" t="s">
        <v>1</v>
      </c>
      <c r="J943" s="1">
        <v>4</v>
      </c>
      <c r="K943" s="1">
        <f>J943*(IF(I943=ProdFam[[#Headers],[Test]],(VLOOKUP(Data[[#This Row],[Product Family]],ProdFam[],3,FALSE)),(VLOOKUP(Data[[#This Row],[Product Family]],ProdFam[],2,FALSE))))</f>
        <v>128</v>
      </c>
      <c r="L943" s="1">
        <v>67</v>
      </c>
      <c r="M943" s="1">
        <v>4</v>
      </c>
      <c r="N943" s="7">
        <f>IFERROR(Data[[#This Row],[Actual Time]]/Data[[#This Row],[QTY Complete]],"")</f>
        <v>16.75</v>
      </c>
      <c r="O943" s="7">
        <f>IF(I943=ProdFam[[#Headers],[Test]],(VLOOKUP(Data[[#This Row],[Product Family]],ProdFam[],3,FALSE)),(VLOOKUP(Data[[#This Row],[Product Family]],ProdFam[],2,FALSE)))</f>
        <v>32</v>
      </c>
    </row>
    <row r="944" spans="2:15" x14ac:dyDescent="0.25">
      <c r="B944" s="1">
        <f>WEEKNUM(Data[[#This Row],[Date]],1)</f>
        <v>3</v>
      </c>
      <c r="C944" s="15">
        <f>YEAR(Data[[#This Row],[Date]])</f>
        <v>2020</v>
      </c>
      <c r="D944" s="5">
        <v>43847</v>
      </c>
      <c r="E944" s="1" t="s">
        <v>117</v>
      </c>
      <c r="F944" s="1">
        <v>30219</v>
      </c>
      <c r="G944" s="1" t="s">
        <v>183</v>
      </c>
      <c r="H944" s="1" t="s">
        <v>113</v>
      </c>
      <c r="I944" s="1" t="s">
        <v>1</v>
      </c>
      <c r="J944" s="1">
        <v>2</v>
      </c>
      <c r="K944" s="1">
        <f>J944*(IF(I944=ProdFam[[#Headers],[Test]],(VLOOKUP(Data[[#This Row],[Product Family]],ProdFam[],3,FALSE)),(VLOOKUP(Data[[#This Row],[Product Family]],ProdFam[],2,FALSE))))</f>
        <v>64</v>
      </c>
      <c r="L944" s="1">
        <v>42</v>
      </c>
      <c r="M944" s="1">
        <v>2</v>
      </c>
      <c r="N944" s="7">
        <f>IFERROR(Data[[#This Row],[Actual Time]]/Data[[#This Row],[QTY Complete]],"")</f>
        <v>21</v>
      </c>
      <c r="O944" s="7">
        <f>IF(I944=ProdFam[[#Headers],[Test]],(VLOOKUP(Data[[#This Row],[Product Family]],ProdFam[],3,FALSE)),(VLOOKUP(Data[[#This Row],[Product Family]],ProdFam[],2,FALSE)))</f>
        <v>32</v>
      </c>
    </row>
    <row r="945" spans="2:15" x14ac:dyDescent="0.25">
      <c r="B945" s="1">
        <f>WEEKNUM(Data[[#This Row],[Date]],1)</f>
        <v>3</v>
      </c>
      <c r="C945" s="15">
        <f>YEAR(Data[[#This Row],[Date]])</f>
        <v>2020</v>
      </c>
      <c r="D945" s="5">
        <v>43847</v>
      </c>
      <c r="E945" s="1" t="s">
        <v>117</v>
      </c>
      <c r="F945" s="1">
        <v>30289</v>
      </c>
      <c r="G945" s="1" t="s">
        <v>11</v>
      </c>
      <c r="H945" s="1" t="s">
        <v>113</v>
      </c>
      <c r="I945" s="1" t="s">
        <v>1</v>
      </c>
      <c r="J945" s="1">
        <v>5</v>
      </c>
      <c r="K945" s="1">
        <f>J945*(IF(I945=ProdFam[[#Headers],[Test]],(VLOOKUP(Data[[#This Row],[Product Family]],ProdFam[],3,FALSE)),(VLOOKUP(Data[[#This Row],[Product Family]],ProdFam[],2,FALSE))))</f>
        <v>160</v>
      </c>
      <c r="L945" s="1">
        <v>147</v>
      </c>
      <c r="M945" s="1">
        <v>5</v>
      </c>
      <c r="N945" s="7">
        <f>IFERROR(Data[[#This Row],[Actual Time]]/Data[[#This Row],[QTY Complete]],"")</f>
        <v>29.4</v>
      </c>
      <c r="O945" s="7">
        <f>IF(I945=ProdFam[[#Headers],[Test]],(VLOOKUP(Data[[#This Row],[Product Family]],ProdFam[],3,FALSE)),(VLOOKUP(Data[[#This Row],[Product Family]],ProdFam[],2,FALSE)))</f>
        <v>32</v>
      </c>
    </row>
    <row r="946" spans="2:15" x14ac:dyDescent="0.25">
      <c r="B946" s="1">
        <f>WEEKNUM(Data[[#This Row],[Date]],1)</f>
        <v>3</v>
      </c>
      <c r="C946" s="15">
        <f>YEAR(Data[[#This Row],[Date]])</f>
        <v>2020</v>
      </c>
      <c r="D946" s="5">
        <v>43847</v>
      </c>
      <c r="E946" s="1" t="s">
        <v>117</v>
      </c>
      <c r="F946" s="1">
        <v>30174</v>
      </c>
      <c r="G946" s="1" t="s">
        <v>174</v>
      </c>
      <c r="H946" s="1" t="s">
        <v>112</v>
      </c>
      <c r="I946" s="1" t="s">
        <v>1</v>
      </c>
      <c r="J946" s="1">
        <v>6</v>
      </c>
      <c r="K946" s="1">
        <f>J946*(IF(I946=ProdFam[[#Headers],[Test]],(VLOOKUP(Data[[#This Row],[Product Family]],ProdFam[],3,FALSE)),(VLOOKUP(Data[[#This Row],[Product Family]],ProdFam[],2,FALSE))))</f>
        <v>60</v>
      </c>
      <c r="L946" s="1">
        <v>17</v>
      </c>
      <c r="M946" s="1">
        <v>6</v>
      </c>
      <c r="N946" s="7">
        <f>IFERROR(Data[[#This Row],[Actual Time]]/Data[[#This Row],[QTY Complete]],"")</f>
        <v>2.8333333333333335</v>
      </c>
      <c r="O946" s="7">
        <f>IF(I946=ProdFam[[#Headers],[Test]],(VLOOKUP(Data[[#This Row],[Product Family]],ProdFam[],3,FALSE)),(VLOOKUP(Data[[#This Row],[Product Family]],ProdFam[],2,FALSE)))</f>
        <v>10</v>
      </c>
    </row>
    <row r="947" spans="2:15" x14ac:dyDescent="0.25">
      <c r="B947" s="1">
        <f>WEEKNUM(Data[[#This Row],[Date]],1)</f>
        <v>3</v>
      </c>
      <c r="C947" s="15">
        <f>YEAR(Data[[#This Row],[Date]])</f>
        <v>2020</v>
      </c>
      <c r="D947" s="5">
        <v>43847</v>
      </c>
      <c r="E947" s="1" t="s">
        <v>118</v>
      </c>
      <c r="F947" s="1">
        <v>30218</v>
      </c>
      <c r="G947" s="1" t="s">
        <v>11</v>
      </c>
      <c r="H947" s="1" t="s">
        <v>113</v>
      </c>
      <c r="I947" s="1" t="s">
        <v>0</v>
      </c>
      <c r="J947" s="1">
        <v>4</v>
      </c>
      <c r="K947" s="1">
        <f>J947*(IF(I947=ProdFam[[#Headers],[Test]],(VLOOKUP(Data[[#This Row],[Product Family]],ProdFam[],3,FALSE)),(VLOOKUP(Data[[#This Row],[Product Family]],ProdFam[],2,FALSE))))</f>
        <v>188</v>
      </c>
      <c r="L947" s="1">
        <v>251</v>
      </c>
      <c r="M947" s="1">
        <v>4</v>
      </c>
      <c r="N947" s="7">
        <f>IFERROR(Data[[#This Row],[Actual Time]]/Data[[#This Row],[QTY Complete]],"")</f>
        <v>62.75</v>
      </c>
      <c r="O947" s="7">
        <f>IF(I947=ProdFam[[#Headers],[Test]],(VLOOKUP(Data[[#This Row],[Product Family]],ProdFam[],3,FALSE)),(VLOOKUP(Data[[#This Row],[Product Family]],ProdFam[],2,FALSE)))</f>
        <v>47</v>
      </c>
    </row>
    <row r="948" spans="2:15" x14ac:dyDescent="0.25">
      <c r="B948" s="1">
        <f>WEEKNUM(Data[[#This Row],[Date]],1)</f>
        <v>4</v>
      </c>
      <c r="C948" s="15">
        <f>YEAR(Data[[#This Row],[Date]])</f>
        <v>2020</v>
      </c>
      <c r="D948" s="5">
        <v>43851</v>
      </c>
      <c r="E948" s="1" t="s">
        <v>118</v>
      </c>
      <c r="F948" s="1">
        <v>30286</v>
      </c>
      <c r="G948" s="1" t="s">
        <v>25</v>
      </c>
      <c r="H948" s="1" t="s">
        <v>113</v>
      </c>
      <c r="I948" s="1" t="s">
        <v>0</v>
      </c>
      <c r="J948" s="1">
        <v>10</v>
      </c>
      <c r="K948" s="1">
        <f>J948*(IF(I948=ProdFam[[#Headers],[Test]],(VLOOKUP(Data[[#This Row],[Product Family]],ProdFam[],3,FALSE)),(VLOOKUP(Data[[#This Row],[Product Family]],ProdFam[],2,FALSE))))</f>
        <v>470</v>
      </c>
      <c r="L948" s="1">
        <v>478</v>
      </c>
      <c r="M948" s="1">
        <v>10</v>
      </c>
      <c r="N948" s="7">
        <f>IFERROR(Data[[#This Row],[Actual Time]]/Data[[#This Row],[QTY Complete]],"")</f>
        <v>47.8</v>
      </c>
      <c r="O948" s="7">
        <f>IF(I948=ProdFam[[#Headers],[Test]],(VLOOKUP(Data[[#This Row],[Product Family]],ProdFam[],3,FALSE)),(VLOOKUP(Data[[#This Row],[Product Family]],ProdFam[],2,FALSE)))</f>
        <v>47</v>
      </c>
    </row>
    <row r="949" spans="2:15" x14ac:dyDescent="0.25">
      <c r="B949" s="1">
        <f>WEEKNUM(Data[[#This Row],[Date]],1)</f>
        <v>4</v>
      </c>
      <c r="C949" s="15">
        <f>YEAR(Data[[#This Row],[Date]])</f>
        <v>2020</v>
      </c>
      <c r="D949" s="5">
        <v>43850</v>
      </c>
      <c r="E949" s="1" t="s">
        <v>122</v>
      </c>
      <c r="F949" s="1">
        <v>30369</v>
      </c>
      <c r="G949" s="1" t="s">
        <v>4</v>
      </c>
      <c r="H949" s="1" t="s">
        <v>113</v>
      </c>
      <c r="I949" s="1" t="s">
        <v>0</v>
      </c>
      <c r="J949" s="1">
        <v>8</v>
      </c>
      <c r="K949" s="1">
        <f>J949*(IF(I949=ProdFam[[#Headers],[Test]],(VLOOKUP(Data[[#This Row],[Product Family]],ProdFam[],3,FALSE)),(VLOOKUP(Data[[#This Row],[Product Family]],ProdFam[],2,FALSE))))</f>
        <v>376</v>
      </c>
      <c r="L949" s="1">
        <v>408</v>
      </c>
      <c r="M949" s="1">
        <v>8</v>
      </c>
      <c r="N949" s="7">
        <f>IFERROR(Data[[#This Row],[Actual Time]]/Data[[#This Row],[QTY Complete]],"")</f>
        <v>51</v>
      </c>
      <c r="O949" s="7">
        <f>IF(I949=ProdFam[[#Headers],[Test]],(VLOOKUP(Data[[#This Row],[Product Family]],ProdFam[],3,FALSE)),(VLOOKUP(Data[[#This Row],[Product Family]],ProdFam[],2,FALSE)))</f>
        <v>47</v>
      </c>
    </row>
    <row r="950" spans="2:15" x14ac:dyDescent="0.25">
      <c r="B950" s="1">
        <f>WEEKNUM(Data[[#This Row],[Date]],1)</f>
        <v>4</v>
      </c>
      <c r="C950" s="15">
        <f>YEAR(Data[[#This Row],[Date]])</f>
        <v>2020</v>
      </c>
      <c r="D950" s="5">
        <v>43850</v>
      </c>
      <c r="E950" s="1" t="s">
        <v>122</v>
      </c>
      <c r="F950" s="1">
        <v>30331</v>
      </c>
      <c r="G950" s="1" t="s">
        <v>59</v>
      </c>
      <c r="H950" s="1" t="s">
        <v>113</v>
      </c>
      <c r="I950" s="1" t="s">
        <v>0</v>
      </c>
      <c r="J950" s="1">
        <v>11</v>
      </c>
      <c r="K950" s="1">
        <f>J950*(IF(I950=ProdFam[[#Headers],[Test]],(VLOOKUP(Data[[#This Row],[Product Family]],ProdFam[],3,FALSE)),(VLOOKUP(Data[[#This Row],[Product Family]],ProdFam[],2,FALSE))))</f>
        <v>517</v>
      </c>
      <c r="L950" s="1">
        <v>466</v>
      </c>
      <c r="M950" s="1">
        <v>11</v>
      </c>
      <c r="N950" s="7">
        <f>IFERROR(Data[[#This Row],[Actual Time]]/Data[[#This Row],[QTY Complete]],"")</f>
        <v>42.363636363636367</v>
      </c>
      <c r="O950" s="7">
        <f>IF(I950=ProdFam[[#Headers],[Test]],(VLOOKUP(Data[[#This Row],[Product Family]],ProdFam[],3,FALSE)),(VLOOKUP(Data[[#This Row],[Product Family]],ProdFam[],2,FALSE)))</f>
        <v>47</v>
      </c>
    </row>
    <row r="951" spans="2:15" x14ac:dyDescent="0.25">
      <c r="B951" s="1">
        <f>WEEKNUM(Data[[#This Row],[Date]],1)</f>
        <v>4</v>
      </c>
      <c r="C951" s="15">
        <f>YEAR(Data[[#This Row],[Date]])</f>
        <v>2020</v>
      </c>
      <c r="D951" s="5">
        <v>43851</v>
      </c>
      <c r="E951" s="1" t="s">
        <v>111</v>
      </c>
      <c r="F951" s="1">
        <v>30224</v>
      </c>
      <c r="G951" s="1" t="s">
        <v>26</v>
      </c>
      <c r="H951" s="1" t="s">
        <v>113</v>
      </c>
      <c r="I951" s="1" t="s">
        <v>1</v>
      </c>
      <c r="J951" s="1">
        <v>10</v>
      </c>
      <c r="K951" s="1">
        <f>J951*(IF(I951=ProdFam[[#Headers],[Test]],(VLOOKUP(Data[[#This Row],[Product Family]],ProdFam[],3,FALSE)),(VLOOKUP(Data[[#This Row],[Product Family]],ProdFam[],2,FALSE))))</f>
        <v>320</v>
      </c>
      <c r="L951" s="1">
        <v>149</v>
      </c>
      <c r="M951" s="1">
        <v>10</v>
      </c>
      <c r="N951" s="7">
        <f>IFERROR(Data[[#This Row],[Actual Time]]/Data[[#This Row],[QTY Complete]],"")</f>
        <v>14.9</v>
      </c>
      <c r="O951" s="7">
        <f>IF(I951=ProdFam[[#Headers],[Test]],(VLOOKUP(Data[[#This Row],[Product Family]],ProdFam[],3,FALSE)),(VLOOKUP(Data[[#This Row],[Product Family]],ProdFam[],2,FALSE)))</f>
        <v>32</v>
      </c>
    </row>
    <row r="952" spans="2:15" x14ac:dyDescent="0.25">
      <c r="B952" s="1">
        <f>WEEKNUM(Data[[#This Row],[Date]],1)</f>
        <v>4</v>
      </c>
      <c r="C952" s="15">
        <f>YEAR(Data[[#This Row],[Date]])</f>
        <v>2020</v>
      </c>
      <c r="D952" s="5">
        <v>43851</v>
      </c>
      <c r="E952" s="1" t="s">
        <v>111</v>
      </c>
      <c r="F952" s="1">
        <v>30369</v>
      </c>
      <c r="G952" s="1" t="s">
        <v>4</v>
      </c>
      <c r="H952" s="1" t="s">
        <v>113</v>
      </c>
      <c r="I952" s="1" t="s">
        <v>1</v>
      </c>
      <c r="J952" s="1">
        <v>8</v>
      </c>
      <c r="K952" s="1">
        <f>J952*(IF(I952=ProdFam[[#Headers],[Test]],(VLOOKUP(Data[[#This Row],[Product Family]],ProdFam[],3,FALSE)),(VLOOKUP(Data[[#This Row],[Product Family]],ProdFam[],2,FALSE))))</f>
        <v>256</v>
      </c>
      <c r="L952" s="1">
        <v>209</v>
      </c>
      <c r="M952" s="1">
        <v>8</v>
      </c>
      <c r="N952" s="7">
        <f>IFERROR(Data[[#This Row],[Actual Time]]/Data[[#This Row],[QTY Complete]],"")</f>
        <v>26.125</v>
      </c>
      <c r="O952" s="7">
        <f>IF(I952=ProdFam[[#Headers],[Test]],(VLOOKUP(Data[[#This Row],[Product Family]],ProdFam[],3,FALSE)),(VLOOKUP(Data[[#This Row],[Product Family]],ProdFam[],2,FALSE)))</f>
        <v>32</v>
      </c>
    </row>
    <row r="953" spans="2:15" x14ac:dyDescent="0.25">
      <c r="B953" s="1">
        <f>WEEKNUM(Data[[#This Row],[Date]],1)</f>
        <v>4</v>
      </c>
      <c r="C953" s="15">
        <f>YEAR(Data[[#This Row],[Date]])</f>
        <v>2020</v>
      </c>
      <c r="D953" s="5">
        <v>43850</v>
      </c>
      <c r="E953" s="1" t="s">
        <v>131</v>
      </c>
      <c r="F953" s="1">
        <v>30333</v>
      </c>
      <c r="G953" s="1" t="s">
        <v>15</v>
      </c>
      <c r="H953" s="1" t="s">
        <v>113</v>
      </c>
      <c r="I953" s="1" t="s">
        <v>0</v>
      </c>
      <c r="J953" s="1">
        <v>8</v>
      </c>
      <c r="K953" s="1">
        <f>J953*(IF(I953=ProdFam[[#Headers],[Test]],(VLOOKUP(Data[[#This Row],[Product Family]],ProdFam[],3,FALSE)),(VLOOKUP(Data[[#This Row],[Product Family]],ProdFam[],2,FALSE))))</f>
        <v>376</v>
      </c>
      <c r="L953" s="1">
        <v>413</v>
      </c>
      <c r="M953" s="1">
        <v>6</v>
      </c>
      <c r="N953" s="7">
        <f>IFERROR(Data[[#This Row],[Actual Time]]/Data[[#This Row],[QTY Complete]],"")</f>
        <v>68.833333333333329</v>
      </c>
      <c r="O953" s="7">
        <f>IF(I953=ProdFam[[#Headers],[Test]],(VLOOKUP(Data[[#This Row],[Product Family]],ProdFam[],3,FALSE)),(VLOOKUP(Data[[#This Row],[Product Family]],ProdFam[],2,FALSE)))</f>
        <v>47</v>
      </c>
    </row>
    <row r="954" spans="2:15" x14ac:dyDescent="0.25">
      <c r="B954" s="1">
        <f>WEEKNUM(Data[[#This Row],[Date]],1)</f>
        <v>2</v>
      </c>
      <c r="C954" s="15">
        <f>YEAR(Data[[#This Row],[Date]])</f>
        <v>2020</v>
      </c>
      <c r="D954" s="5">
        <v>43839</v>
      </c>
      <c r="E954" s="1" t="s">
        <v>131</v>
      </c>
      <c r="F954" s="1">
        <v>30145</v>
      </c>
      <c r="G954" s="1" t="s">
        <v>170</v>
      </c>
      <c r="H954" s="1" t="s">
        <v>113</v>
      </c>
      <c r="I954" s="1" t="s">
        <v>0</v>
      </c>
      <c r="J954" s="1">
        <v>7</v>
      </c>
      <c r="K954" s="1">
        <f>J954*(IF(I954=ProdFam[[#Headers],[Test]],(VLOOKUP(Data[[#This Row],[Product Family]],ProdFam[],3,FALSE)),(VLOOKUP(Data[[#This Row],[Product Family]],ProdFam[],2,FALSE))))</f>
        <v>329</v>
      </c>
      <c r="L954" s="1">
        <v>294</v>
      </c>
      <c r="M954" s="1">
        <v>7</v>
      </c>
      <c r="N954" s="7">
        <f>IFERROR(Data[[#This Row],[Actual Time]]/Data[[#This Row],[QTY Complete]],"")</f>
        <v>42</v>
      </c>
      <c r="O954" s="7">
        <f>IF(I954=ProdFam[[#Headers],[Test]],(VLOOKUP(Data[[#This Row],[Product Family]],ProdFam[],3,FALSE)),(VLOOKUP(Data[[#This Row],[Product Family]],ProdFam[],2,FALSE)))</f>
        <v>47</v>
      </c>
    </row>
    <row r="955" spans="2:15" x14ac:dyDescent="0.25">
      <c r="B955" s="1">
        <f>WEEKNUM(Data[[#This Row],[Date]],1)</f>
        <v>2</v>
      </c>
      <c r="C955" s="15">
        <f>YEAR(Data[[#This Row],[Date]])</f>
        <v>2020</v>
      </c>
      <c r="D955" s="5">
        <v>43839</v>
      </c>
      <c r="E955" s="1" t="s">
        <v>131</v>
      </c>
      <c r="F955" s="1">
        <v>30141</v>
      </c>
      <c r="G955" s="1" t="s">
        <v>17</v>
      </c>
      <c r="H955" s="1" t="s">
        <v>113</v>
      </c>
      <c r="I955" s="1" t="s">
        <v>0</v>
      </c>
      <c r="J955" s="1">
        <v>1</v>
      </c>
      <c r="K955" s="1">
        <f>J955*(IF(I955=ProdFam[[#Headers],[Test]],(VLOOKUP(Data[[#This Row],[Product Family]],ProdFam[],3,FALSE)),(VLOOKUP(Data[[#This Row],[Product Family]],ProdFam[],2,FALSE))))</f>
        <v>47</v>
      </c>
      <c r="L955" s="1">
        <v>47</v>
      </c>
      <c r="M955" s="1">
        <v>1</v>
      </c>
      <c r="N955" s="7">
        <f>IFERROR(Data[[#This Row],[Actual Time]]/Data[[#This Row],[QTY Complete]],"")</f>
        <v>47</v>
      </c>
      <c r="O955" s="7">
        <f>IF(I955=ProdFam[[#Headers],[Test]],(VLOOKUP(Data[[#This Row],[Product Family]],ProdFam[],3,FALSE)),(VLOOKUP(Data[[#This Row],[Product Family]],ProdFam[],2,FALSE)))</f>
        <v>47</v>
      </c>
    </row>
    <row r="956" spans="2:15" x14ac:dyDescent="0.25">
      <c r="B956" s="1">
        <f>WEEKNUM(Data[[#This Row],[Date]],1)</f>
        <v>2</v>
      </c>
      <c r="C956" s="15">
        <f>YEAR(Data[[#This Row],[Date]])</f>
        <v>2020</v>
      </c>
      <c r="D956" s="5">
        <v>43840</v>
      </c>
      <c r="E956" s="1" t="s">
        <v>118</v>
      </c>
      <c r="F956" s="1">
        <v>30142</v>
      </c>
      <c r="G956" s="1" t="s">
        <v>184</v>
      </c>
      <c r="H956" s="1" t="s">
        <v>113</v>
      </c>
      <c r="I956" s="1" t="s">
        <v>0</v>
      </c>
      <c r="J956" s="1">
        <v>2</v>
      </c>
      <c r="K956" s="1">
        <f>J956*(IF(I956=ProdFam[[#Headers],[Test]],(VLOOKUP(Data[[#This Row],[Product Family]],ProdFam[],3,FALSE)),(VLOOKUP(Data[[#This Row],[Product Family]],ProdFam[],2,FALSE))))</f>
        <v>94</v>
      </c>
      <c r="L956" s="1">
        <v>115</v>
      </c>
      <c r="M956" s="1">
        <v>2</v>
      </c>
      <c r="N956" s="7">
        <f>IFERROR(Data[[#This Row],[Actual Time]]/Data[[#This Row],[QTY Complete]],"")</f>
        <v>57.5</v>
      </c>
      <c r="O956" s="7">
        <f>IF(I956=ProdFam[[#Headers],[Test]],(VLOOKUP(Data[[#This Row],[Product Family]],ProdFam[],3,FALSE)),(VLOOKUP(Data[[#This Row],[Product Family]],ProdFam[],2,FALSE)))</f>
        <v>47</v>
      </c>
    </row>
    <row r="957" spans="2:15" x14ac:dyDescent="0.25">
      <c r="B957" s="1">
        <f>WEEKNUM(Data[[#This Row],[Date]],1)</f>
        <v>2</v>
      </c>
      <c r="C957" s="15">
        <f>YEAR(Data[[#This Row],[Date]])</f>
        <v>2020</v>
      </c>
      <c r="D957" s="5">
        <v>43840</v>
      </c>
      <c r="E957" s="1" t="s">
        <v>118</v>
      </c>
      <c r="F957" s="1">
        <v>30136</v>
      </c>
      <c r="G957" s="1" t="s">
        <v>41</v>
      </c>
      <c r="H957" s="1" t="s">
        <v>113</v>
      </c>
      <c r="I957" s="1" t="s">
        <v>0</v>
      </c>
      <c r="J957" s="1">
        <v>1</v>
      </c>
      <c r="K957" s="1">
        <f>J957*(IF(I957=ProdFam[[#Headers],[Test]],(VLOOKUP(Data[[#This Row],[Product Family]],ProdFam[],3,FALSE)),(VLOOKUP(Data[[#This Row],[Product Family]],ProdFam[],2,FALSE))))</f>
        <v>47</v>
      </c>
      <c r="L957" s="1">
        <v>115</v>
      </c>
      <c r="M957" s="1">
        <v>1</v>
      </c>
      <c r="N957" s="7">
        <f>IFERROR(Data[[#This Row],[Actual Time]]/Data[[#This Row],[QTY Complete]],"")</f>
        <v>115</v>
      </c>
      <c r="O957" s="7">
        <f>IF(I957=ProdFam[[#Headers],[Test]],(VLOOKUP(Data[[#This Row],[Product Family]],ProdFam[],3,FALSE)),(VLOOKUP(Data[[#This Row],[Product Family]],ProdFam[],2,FALSE)))</f>
        <v>47</v>
      </c>
    </row>
    <row r="958" spans="2:15" x14ac:dyDescent="0.25">
      <c r="B958" s="1">
        <f>WEEKNUM(Data[[#This Row],[Date]],1)</f>
        <v>2</v>
      </c>
      <c r="C958" s="15">
        <f>YEAR(Data[[#This Row],[Date]])</f>
        <v>2020</v>
      </c>
      <c r="D958" s="5">
        <v>43840</v>
      </c>
      <c r="E958" s="1" t="s">
        <v>118</v>
      </c>
      <c r="F958" s="1">
        <v>30185</v>
      </c>
      <c r="G958" s="1" t="s">
        <v>185</v>
      </c>
      <c r="H958" s="1" t="s">
        <v>116</v>
      </c>
      <c r="I958" s="1" t="s">
        <v>0</v>
      </c>
      <c r="J958" s="1">
        <v>5</v>
      </c>
      <c r="K958" s="1">
        <f>J958*(IF(I958=ProdFam[[#Headers],[Test]],(VLOOKUP(Data[[#This Row],[Product Family]],ProdFam[],3,FALSE)),(VLOOKUP(Data[[#This Row],[Product Family]],ProdFam[],2,FALSE))))</f>
        <v>25</v>
      </c>
      <c r="L958" s="1">
        <v>138</v>
      </c>
      <c r="M958" s="1">
        <v>5</v>
      </c>
      <c r="N958" s="7">
        <f>IFERROR(Data[[#This Row],[Actual Time]]/Data[[#This Row],[QTY Complete]],"")</f>
        <v>27.6</v>
      </c>
      <c r="O958" s="7">
        <f>IF(I958=ProdFam[[#Headers],[Test]],(VLOOKUP(Data[[#This Row],[Product Family]],ProdFam[],3,FALSE)),(VLOOKUP(Data[[#This Row],[Product Family]],ProdFam[],2,FALSE)))</f>
        <v>5</v>
      </c>
    </row>
    <row r="959" spans="2:15" x14ac:dyDescent="0.25">
      <c r="B959" s="1">
        <f>WEEKNUM(Data[[#This Row],[Date]],1)</f>
        <v>3</v>
      </c>
      <c r="C959" s="15">
        <f>YEAR(Data[[#This Row],[Date]])</f>
        <v>2020</v>
      </c>
      <c r="D959" s="5">
        <v>43844</v>
      </c>
      <c r="E959" s="1" t="s">
        <v>118</v>
      </c>
      <c r="F959" s="1">
        <v>30284</v>
      </c>
      <c r="G959" s="1" t="s">
        <v>186</v>
      </c>
      <c r="H959" s="1" t="s">
        <v>112</v>
      </c>
      <c r="I959" s="1" t="s">
        <v>0</v>
      </c>
      <c r="J959" s="1">
        <v>15</v>
      </c>
      <c r="K959" s="1">
        <f>J959*(IF(I959=ProdFam[[#Headers],[Test]],(VLOOKUP(Data[[#This Row],[Product Family]],ProdFam[],3,FALSE)),(VLOOKUP(Data[[#This Row],[Product Family]],ProdFam[],2,FALSE))))</f>
        <v>150</v>
      </c>
      <c r="L959" s="1">
        <v>99</v>
      </c>
      <c r="M959" s="1">
        <v>15</v>
      </c>
      <c r="N959" s="7">
        <f>IFERROR(Data[[#This Row],[Actual Time]]/Data[[#This Row],[QTY Complete]],"")</f>
        <v>6.6</v>
      </c>
      <c r="O959" s="7">
        <f>IF(I959=ProdFam[[#Headers],[Test]],(VLOOKUP(Data[[#This Row],[Product Family]],ProdFam[],3,FALSE)),(VLOOKUP(Data[[#This Row],[Product Family]],ProdFam[],2,FALSE)))</f>
        <v>10</v>
      </c>
    </row>
    <row r="960" spans="2:15" x14ac:dyDescent="0.25">
      <c r="B960" s="1">
        <f>WEEKNUM(Data[[#This Row],[Date]],1)</f>
        <v>3</v>
      </c>
      <c r="C960" s="15">
        <f>YEAR(Data[[#This Row],[Date]])</f>
        <v>2020</v>
      </c>
      <c r="D960" s="5">
        <v>43843</v>
      </c>
      <c r="E960" s="1" t="s">
        <v>131</v>
      </c>
      <c r="F960" s="1">
        <v>30220</v>
      </c>
      <c r="G960" s="1" t="s">
        <v>187</v>
      </c>
      <c r="H960" s="1" t="s">
        <v>125</v>
      </c>
      <c r="I960" s="1" t="s">
        <v>0</v>
      </c>
      <c r="J960" s="1">
        <v>9</v>
      </c>
      <c r="K960" s="1">
        <f>J960*(IF(I960=ProdFam[[#Headers],[Test]],(VLOOKUP(Data[[#This Row],[Product Family]],ProdFam[],3,FALSE)),(VLOOKUP(Data[[#This Row],[Product Family]],ProdFam[],2,FALSE))))</f>
        <v>108</v>
      </c>
      <c r="L960" s="1">
        <v>125</v>
      </c>
      <c r="M960" s="1">
        <v>9</v>
      </c>
      <c r="N960" s="7">
        <f>IFERROR(Data[[#This Row],[Actual Time]]/Data[[#This Row],[QTY Complete]],"")</f>
        <v>13.888888888888889</v>
      </c>
      <c r="O960" s="7">
        <f>IF(I960=ProdFam[[#Headers],[Test]],(VLOOKUP(Data[[#This Row],[Product Family]],ProdFam[],3,FALSE)),(VLOOKUP(Data[[#This Row],[Product Family]],ProdFam[],2,FALSE)))</f>
        <v>12</v>
      </c>
    </row>
    <row r="961" spans="2:15" x14ac:dyDescent="0.25">
      <c r="B961" s="1">
        <f>WEEKNUM(Data[[#This Row],[Date]],1)</f>
        <v>3</v>
      </c>
      <c r="C961" s="15">
        <f>YEAR(Data[[#This Row],[Date]])</f>
        <v>2020</v>
      </c>
      <c r="D961" s="5">
        <v>43843</v>
      </c>
      <c r="E961" s="1" t="s">
        <v>131</v>
      </c>
      <c r="F961" s="1">
        <v>30133</v>
      </c>
      <c r="G961" s="1" t="s">
        <v>28</v>
      </c>
      <c r="H961" s="1" t="s">
        <v>113</v>
      </c>
      <c r="I961" s="1" t="s">
        <v>0</v>
      </c>
      <c r="J961" s="1">
        <v>10</v>
      </c>
      <c r="K961" s="1">
        <f>J961*(IF(I961=ProdFam[[#Headers],[Test]],(VLOOKUP(Data[[#This Row],[Product Family]],ProdFam[],3,FALSE)),(VLOOKUP(Data[[#This Row],[Product Family]],ProdFam[],2,FALSE))))</f>
        <v>470</v>
      </c>
      <c r="L961" s="1">
        <v>80</v>
      </c>
      <c r="M961" s="1">
        <v>10</v>
      </c>
      <c r="N961" s="7">
        <f>IFERROR(Data[[#This Row],[Actual Time]]/Data[[#This Row],[QTY Complete]],"")</f>
        <v>8</v>
      </c>
      <c r="O961" s="7">
        <f>IF(I961=ProdFam[[#Headers],[Test]],(VLOOKUP(Data[[#This Row],[Product Family]],ProdFam[],3,FALSE)),(VLOOKUP(Data[[#This Row],[Product Family]],ProdFam[],2,FALSE)))</f>
        <v>47</v>
      </c>
    </row>
    <row r="962" spans="2:15" x14ac:dyDescent="0.25">
      <c r="B962" s="1">
        <f>WEEKNUM(Data[[#This Row],[Date]],1)</f>
        <v>3</v>
      </c>
      <c r="C962" s="15">
        <f>YEAR(Data[[#This Row],[Date]])</f>
        <v>2020</v>
      </c>
      <c r="D962" s="5">
        <v>43843</v>
      </c>
      <c r="E962" s="1" t="s">
        <v>131</v>
      </c>
      <c r="F962" s="1">
        <v>30138</v>
      </c>
      <c r="G962" s="1" t="s">
        <v>50</v>
      </c>
      <c r="H962" s="1" t="s">
        <v>113</v>
      </c>
      <c r="I962" s="1" t="s">
        <v>0</v>
      </c>
      <c r="J962" s="1">
        <v>10</v>
      </c>
      <c r="K962" s="1">
        <f>J962*(IF(I962=ProdFam[[#Headers],[Test]],(VLOOKUP(Data[[#This Row],[Product Family]],ProdFam[],3,FALSE)),(VLOOKUP(Data[[#This Row],[Product Family]],ProdFam[],2,FALSE))))</f>
        <v>470</v>
      </c>
      <c r="L962" s="1">
        <v>428</v>
      </c>
      <c r="M962" s="1">
        <v>10</v>
      </c>
      <c r="N962" s="7">
        <f>IFERROR(Data[[#This Row],[Actual Time]]/Data[[#This Row],[QTY Complete]],"")</f>
        <v>42.8</v>
      </c>
      <c r="O962" s="7">
        <f>IF(I962=ProdFam[[#Headers],[Test]],(VLOOKUP(Data[[#This Row],[Product Family]],ProdFam[],3,FALSE)),(VLOOKUP(Data[[#This Row],[Product Family]],ProdFam[],2,FALSE)))</f>
        <v>47</v>
      </c>
    </row>
    <row r="963" spans="2:15" x14ac:dyDescent="0.25">
      <c r="B963" s="1">
        <f>WEEKNUM(Data[[#This Row],[Date]],1)</f>
        <v>3</v>
      </c>
      <c r="C963" s="15">
        <f>YEAR(Data[[#This Row],[Date]])</f>
        <v>2020</v>
      </c>
      <c r="D963" s="5">
        <v>43844</v>
      </c>
      <c r="E963" s="1" t="s">
        <v>118</v>
      </c>
      <c r="F963" s="1">
        <v>30154</v>
      </c>
      <c r="G963" s="1" t="s">
        <v>188</v>
      </c>
      <c r="H963" s="1" t="s">
        <v>125</v>
      </c>
      <c r="I963" s="1" t="s">
        <v>0</v>
      </c>
      <c r="J963" s="1">
        <v>5</v>
      </c>
      <c r="K963" s="1">
        <f>J963*(IF(I963=ProdFam[[#Headers],[Test]],(VLOOKUP(Data[[#This Row],[Product Family]],ProdFam[],3,FALSE)),(VLOOKUP(Data[[#This Row],[Product Family]],ProdFam[],2,FALSE))))</f>
        <v>60</v>
      </c>
      <c r="L963" s="1">
        <v>236</v>
      </c>
      <c r="M963" s="1">
        <v>5</v>
      </c>
      <c r="N963" s="7">
        <f>IFERROR(Data[[#This Row],[Actual Time]]/Data[[#This Row],[QTY Complete]],"")</f>
        <v>47.2</v>
      </c>
      <c r="O963" s="7">
        <f>IF(I963=ProdFam[[#Headers],[Test]],(VLOOKUP(Data[[#This Row],[Product Family]],ProdFam[],3,FALSE)),(VLOOKUP(Data[[#This Row],[Product Family]],ProdFam[],2,FALSE)))</f>
        <v>12</v>
      </c>
    </row>
    <row r="964" spans="2:15" x14ac:dyDescent="0.25">
      <c r="B964" s="1">
        <f>WEEKNUM(Data[[#This Row],[Date]],1)</f>
        <v>3</v>
      </c>
      <c r="C964" s="15">
        <f>YEAR(Data[[#This Row],[Date]])</f>
        <v>2020</v>
      </c>
      <c r="D964" s="5">
        <v>43845</v>
      </c>
      <c r="E964" s="1" t="s">
        <v>118</v>
      </c>
      <c r="F964" s="1">
        <v>30161</v>
      </c>
      <c r="G964" s="1" t="s">
        <v>28</v>
      </c>
      <c r="H964" s="1" t="s">
        <v>113</v>
      </c>
      <c r="I964" s="1" t="s">
        <v>0</v>
      </c>
      <c r="J964" s="1">
        <v>8</v>
      </c>
      <c r="K964" s="1">
        <f>J964*(IF(I964=ProdFam[[#Headers],[Test]],(VLOOKUP(Data[[#This Row],[Product Family]],ProdFam[],3,FALSE)),(VLOOKUP(Data[[#This Row],[Product Family]],ProdFam[],2,FALSE))))</f>
        <v>376</v>
      </c>
      <c r="L964" s="1">
        <v>449</v>
      </c>
      <c r="M964" s="1">
        <v>8</v>
      </c>
      <c r="N964" s="7">
        <f>IFERROR(Data[[#This Row],[Actual Time]]/Data[[#This Row],[QTY Complete]],"")</f>
        <v>56.125</v>
      </c>
      <c r="O964" s="7">
        <f>IF(I964=ProdFam[[#Headers],[Test]],(VLOOKUP(Data[[#This Row],[Product Family]],ProdFam[],3,FALSE)),(VLOOKUP(Data[[#This Row],[Product Family]],ProdFam[],2,FALSE)))</f>
        <v>47</v>
      </c>
    </row>
    <row r="965" spans="2:15" x14ac:dyDescent="0.25">
      <c r="B965" s="1">
        <f>WEEKNUM(Data[[#This Row],[Date]],1)</f>
        <v>2</v>
      </c>
      <c r="C965" s="15">
        <f>YEAR(Data[[#This Row],[Date]])</f>
        <v>2020</v>
      </c>
      <c r="D965" s="5">
        <v>43839</v>
      </c>
      <c r="E965" s="1" t="s">
        <v>118</v>
      </c>
      <c r="F965" s="1">
        <v>30147</v>
      </c>
      <c r="G965" s="1" t="s">
        <v>4</v>
      </c>
      <c r="H965" s="1" t="s">
        <v>113</v>
      </c>
      <c r="I965" s="1" t="s">
        <v>0</v>
      </c>
      <c r="J965" s="1">
        <v>6</v>
      </c>
      <c r="K965" s="1">
        <f>J965*(IF(I965=ProdFam[[#Headers],[Test]],(VLOOKUP(Data[[#This Row],[Product Family]],ProdFam[],3,FALSE)),(VLOOKUP(Data[[#This Row],[Product Family]],ProdFam[],2,FALSE))))</f>
        <v>282</v>
      </c>
      <c r="L965" s="1">
        <v>351</v>
      </c>
      <c r="M965" s="1">
        <v>6</v>
      </c>
      <c r="N965" s="7">
        <f>IFERROR(Data[[#This Row],[Actual Time]]/Data[[#This Row],[QTY Complete]],"")</f>
        <v>58.5</v>
      </c>
      <c r="O965" s="7">
        <f>IF(I965=ProdFam[[#Headers],[Test]],(VLOOKUP(Data[[#This Row],[Product Family]],ProdFam[],3,FALSE)),(VLOOKUP(Data[[#This Row],[Product Family]],ProdFam[],2,FALSE)))</f>
        <v>47</v>
      </c>
    </row>
    <row r="966" spans="2:15" x14ac:dyDescent="0.25">
      <c r="B966" s="1">
        <f>WEEKNUM(Data[[#This Row],[Date]],1)</f>
        <v>2</v>
      </c>
      <c r="C966" s="15">
        <f>YEAR(Data[[#This Row],[Date]])</f>
        <v>2020</v>
      </c>
      <c r="D966" s="5">
        <v>43839</v>
      </c>
      <c r="E966" s="1" t="s">
        <v>118</v>
      </c>
      <c r="F966" s="1">
        <v>30139</v>
      </c>
      <c r="G966" s="1" t="s">
        <v>189</v>
      </c>
      <c r="H966" s="1" t="s">
        <v>113</v>
      </c>
      <c r="I966" s="1" t="s">
        <v>0</v>
      </c>
      <c r="J966" s="1">
        <v>1</v>
      </c>
      <c r="K966" s="1">
        <f>J966*(IF(I966=ProdFam[[#Headers],[Test]],(VLOOKUP(Data[[#This Row],[Product Family]],ProdFam[],3,FALSE)),(VLOOKUP(Data[[#This Row],[Product Family]],ProdFam[],2,FALSE))))</f>
        <v>47</v>
      </c>
      <c r="L966" s="1">
        <v>71</v>
      </c>
      <c r="M966" s="1">
        <v>1</v>
      </c>
      <c r="N966" s="7">
        <f>IFERROR(Data[[#This Row],[Actual Time]]/Data[[#This Row],[QTY Complete]],"")</f>
        <v>71</v>
      </c>
      <c r="O966" s="7">
        <f>IF(I966=ProdFam[[#Headers],[Test]],(VLOOKUP(Data[[#This Row],[Product Family]],ProdFam[],3,FALSE)),(VLOOKUP(Data[[#This Row],[Product Family]],ProdFam[],2,FALSE)))</f>
        <v>47</v>
      </c>
    </row>
    <row r="967" spans="2:15" x14ac:dyDescent="0.25">
      <c r="B967" s="1">
        <f>WEEKNUM(Data[[#This Row],[Date]],1)</f>
        <v>4</v>
      </c>
      <c r="C967" s="15">
        <f>YEAR(Data[[#This Row],[Date]])</f>
        <v>2020</v>
      </c>
      <c r="D967" s="5">
        <v>43850</v>
      </c>
      <c r="E967" s="1" t="s">
        <v>118</v>
      </c>
      <c r="F967" s="1">
        <v>30364</v>
      </c>
      <c r="G967" s="1" t="s">
        <v>66</v>
      </c>
      <c r="H967" s="1" t="s">
        <v>113</v>
      </c>
      <c r="I967" s="1" t="s">
        <v>0</v>
      </c>
      <c r="J967" s="1">
        <v>4</v>
      </c>
      <c r="K967" s="1">
        <f>J967*(IF(I967=ProdFam[[#Headers],[Test]],(VLOOKUP(Data[[#This Row],[Product Family]],ProdFam[],3,FALSE)),(VLOOKUP(Data[[#This Row],[Product Family]],ProdFam[],2,FALSE))))</f>
        <v>188</v>
      </c>
      <c r="L967" s="1">
        <v>238</v>
      </c>
      <c r="M967" s="1">
        <v>4</v>
      </c>
      <c r="N967" s="7">
        <f>IFERROR(Data[[#This Row],[Actual Time]]/Data[[#This Row],[QTY Complete]],"")</f>
        <v>59.5</v>
      </c>
      <c r="O967" s="7">
        <f>IF(I967=ProdFam[[#Headers],[Test]],(VLOOKUP(Data[[#This Row],[Product Family]],ProdFam[],3,FALSE)),(VLOOKUP(Data[[#This Row],[Product Family]],ProdFam[],2,FALSE)))</f>
        <v>47</v>
      </c>
    </row>
    <row r="968" spans="2:15" x14ac:dyDescent="0.25">
      <c r="B968" s="1">
        <f>WEEKNUM(Data[[#This Row],[Date]],1)</f>
        <v>4</v>
      </c>
      <c r="C968" s="15">
        <f>YEAR(Data[[#This Row],[Date]])</f>
        <v>2020</v>
      </c>
      <c r="D968" s="5">
        <v>43850</v>
      </c>
      <c r="E968" s="1" t="s">
        <v>118</v>
      </c>
      <c r="F968" s="1">
        <v>30394</v>
      </c>
      <c r="G968" s="1" t="s">
        <v>3</v>
      </c>
      <c r="H968" s="1" t="s">
        <v>112</v>
      </c>
      <c r="I968" s="1" t="s">
        <v>0</v>
      </c>
      <c r="J968" s="1">
        <v>3</v>
      </c>
      <c r="K968" s="1">
        <f>J968*(IF(I968=ProdFam[[#Headers],[Test]],(VLOOKUP(Data[[#This Row],[Product Family]],ProdFam[],3,FALSE)),(VLOOKUP(Data[[#This Row],[Product Family]],ProdFam[],2,FALSE))))</f>
        <v>30</v>
      </c>
      <c r="L968" s="1">
        <v>40</v>
      </c>
      <c r="M968" s="1">
        <v>3</v>
      </c>
      <c r="N968" s="7">
        <f>IFERROR(Data[[#This Row],[Actual Time]]/Data[[#This Row],[QTY Complete]],"")</f>
        <v>13.333333333333334</v>
      </c>
      <c r="O968" s="7">
        <f>IF(I968=ProdFam[[#Headers],[Test]],(VLOOKUP(Data[[#This Row],[Product Family]],ProdFam[],3,FALSE)),(VLOOKUP(Data[[#This Row],[Product Family]],ProdFam[],2,FALSE)))</f>
        <v>10</v>
      </c>
    </row>
    <row r="969" spans="2:15" x14ac:dyDescent="0.25">
      <c r="B969" s="1">
        <f>WEEKNUM(Data[[#This Row],[Date]],1)</f>
        <v>4</v>
      </c>
      <c r="C969" s="15">
        <f>YEAR(Data[[#This Row],[Date]])</f>
        <v>2020</v>
      </c>
      <c r="D969" s="5">
        <v>43850</v>
      </c>
      <c r="E969" s="1" t="s">
        <v>118</v>
      </c>
      <c r="F969" s="1">
        <v>30368</v>
      </c>
      <c r="G969" s="1" t="s">
        <v>62</v>
      </c>
      <c r="H969" s="1" t="s">
        <v>112</v>
      </c>
      <c r="I969" s="1" t="s">
        <v>0</v>
      </c>
      <c r="J969" s="1">
        <v>24</v>
      </c>
      <c r="K969" s="1">
        <f>J969*(IF(I969=ProdFam[[#Headers],[Test]],(VLOOKUP(Data[[#This Row],[Product Family]],ProdFam[],3,FALSE)),(VLOOKUP(Data[[#This Row],[Product Family]],ProdFam[],2,FALSE))))</f>
        <v>240</v>
      </c>
      <c r="L969" s="1">
        <v>38</v>
      </c>
      <c r="M969" s="1">
        <v>24</v>
      </c>
      <c r="N969" s="7">
        <f>IFERROR(Data[[#This Row],[Actual Time]]/Data[[#This Row],[QTY Complete]],"")</f>
        <v>1.5833333333333333</v>
      </c>
      <c r="O969" s="7">
        <f>IF(I969=ProdFam[[#Headers],[Test]],(VLOOKUP(Data[[#This Row],[Product Family]],ProdFam[],3,FALSE)),(VLOOKUP(Data[[#This Row],[Product Family]],ProdFam[],2,FALSE)))</f>
        <v>10</v>
      </c>
    </row>
    <row r="970" spans="2:15" x14ac:dyDescent="0.25">
      <c r="B970" s="1">
        <f>WEEKNUM(Data[[#This Row],[Date]],1)</f>
        <v>4</v>
      </c>
      <c r="C970" s="15">
        <f>YEAR(Data[[#This Row],[Date]])</f>
        <v>2020</v>
      </c>
      <c r="D970" s="5">
        <v>43850</v>
      </c>
      <c r="E970" s="1" t="s">
        <v>119</v>
      </c>
      <c r="F970" s="1">
        <v>30388</v>
      </c>
      <c r="G970" s="1" t="s">
        <v>18</v>
      </c>
      <c r="H970" s="1" t="s">
        <v>115</v>
      </c>
      <c r="I970" s="1" t="s">
        <v>1</v>
      </c>
      <c r="J970" s="1">
        <v>8</v>
      </c>
      <c r="K970" s="1">
        <f>J970*(IF(I970=ProdFam[[#Headers],[Test]],(VLOOKUP(Data[[#This Row],[Product Family]],ProdFam[],3,FALSE)),(VLOOKUP(Data[[#This Row],[Product Family]],ProdFam[],2,FALSE))))</f>
        <v>192</v>
      </c>
      <c r="L970" s="1">
        <v>131</v>
      </c>
      <c r="M970" s="1">
        <v>8</v>
      </c>
      <c r="N970" s="7">
        <f>IFERROR(Data[[#This Row],[Actual Time]]/Data[[#This Row],[QTY Complete]],"")</f>
        <v>16.375</v>
      </c>
      <c r="O970" s="7">
        <f>IF(I970=ProdFam[[#Headers],[Test]],(VLOOKUP(Data[[#This Row],[Product Family]],ProdFam[],3,FALSE)),(VLOOKUP(Data[[#This Row],[Product Family]],ProdFam[],2,FALSE)))</f>
        <v>24</v>
      </c>
    </row>
    <row r="971" spans="2:15" x14ac:dyDescent="0.25">
      <c r="B971" s="1">
        <f>WEEKNUM(Data[[#This Row],[Date]],1)</f>
        <v>4</v>
      </c>
      <c r="C971" s="15">
        <f>YEAR(Data[[#This Row],[Date]])</f>
        <v>2020</v>
      </c>
      <c r="D971" s="5">
        <v>43850</v>
      </c>
      <c r="E971" s="1" t="s">
        <v>119</v>
      </c>
      <c r="F971" s="1">
        <v>30172</v>
      </c>
      <c r="G971" s="1" t="s">
        <v>167</v>
      </c>
      <c r="H971" s="1" t="s">
        <v>113</v>
      </c>
      <c r="I971" s="1" t="s">
        <v>1</v>
      </c>
      <c r="J971" s="1">
        <v>6</v>
      </c>
      <c r="K971" s="1">
        <f>J971*(IF(I971=ProdFam[[#Headers],[Test]],(VLOOKUP(Data[[#This Row],[Product Family]],ProdFam[],3,FALSE)),(VLOOKUP(Data[[#This Row],[Product Family]],ProdFam[],2,FALSE))))</f>
        <v>192</v>
      </c>
      <c r="L971" s="1">
        <v>104</v>
      </c>
      <c r="M971" s="1">
        <v>6</v>
      </c>
      <c r="N971" s="7">
        <f>IFERROR(Data[[#This Row],[Actual Time]]/Data[[#This Row],[QTY Complete]],"")</f>
        <v>17.333333333333332</v>
      </c>
      <c r="O971" s="7">
        <f>IF(I971=ProdFam[[#Headers],[Test]],(VLOOKUP(Data[[#This Row],[Product Family]],ProdFam[],3,FALSE)),(VLOOKUP(Data[[#This Row],[Product Family]],ProdFam[],2,FALSE)))</f>
        <v>32</v>
      </c>
    </row>
    <row r="972" spans="2:15" x14ac:dyDescent="0.25">
      <c r="B972" s="1">
        <f>WEEKNUM(Data[[#This Row],[Date]],1)</f>
        <v>4</v>
      </c>
      <c r="C972" s="15">
        <f>YEAR(Data[[#This Row],[Date]])</f>
        <v>2020</v>
      </c>
      <c r="D972" s="5">
        <v>43850</v>
      </c>
      <c r="E972" s="1" t="s">
        <v>119</v>
      </c>
      <c r="F972" s="1">
        <v>30301</v>
      </c>
      <c r="G972" s="1" t="s">
        <v>44</v>
      </c>
      <c r="H972" s="1" t="s">
        <v>113</v>
      </c>
      <c r="I972" s="1" t="s">
        <v>1</v>
      </c>
      <c r="J972" s="1">
        <v>6</v>
      </c>
      <c r="K972" s="1">
        <f>J972*(IF(I972=ProdFam[[#Headers],[Test]],(VLOOKUP(Data[[#This Row],[Product Family]],ProdFam[],3,FALSE)),(VLOOKUP(Data[[#This Row],[Product Family]],ProdFam[],2,FALSE))))</f>
        <v>192</v>
      </c>
      <c r="L972" s="1">
        <v>154</v>
      </c>
      <c r="M972" s="1">
        <v>6</v>
      </c>
      <c r="N972" s="7">
        <f>IFERROR(Data[[#This Row],[Actual Time]]/Data[[#This Row],[QTY Complete]],"")</f>
        <v>25.666666666666668</v>
      </c>
      <c r="O972" s="7">
        <f>IF(I972=ProdFam[[#Headers],[Test]],(VLOOKUP(Data[[#This Row],[Product Family]],ProdFam[],3,FALSE)),(VLOOKUP(Data[[#This Row],[Product Family]],ProdFam[],2,FALSE)))</f>
        <v>32</v>
      </c>
    </row>
    <row r="973" spans="2:15" x14ac:dyDescent="0.25">
      <c r="B973" s="1">
        <f>WEEKNUM(Data[[#This Row],[Date]],1)</f>
        <v>4</v>
      </c>
      <c r="C973" s="15">
        <f>YEAR(Data[[#This Row],[Date]])</f>
        <v>2020</v>
      </c>
      <c r="D973" s="5">
        <v>43850</v>
      </c>
      <c r="E973" s="1" t="s">
        <v>119</v>
      </c>
      <c r="F973" s="1">
        <v>30364</v>
      </c>
      <c r="G973" s="1" t="s">
        <v>66</v>
      </c>
      <c r="H973" s="1" t="s">
        <v>113</v>
      </c>
      <c r="I973" s="1" t="s">
        <v>1</v>
      </c>
      <c r="J973" s="1">
        <v>4</v>
      </c>
      <c r="K973" s="1">
        <f>J973*(IF(I973=ProdFam[[#Headers],[Test]],(VLOOKUP(Data[[#This Row],[Product Family]],ProdFam[],3,FALSE)),(VLOOKUP(Data[[#This Row],[Product Family]],ProdFam[],2,FALSE))))</f>
        <v>128</v>
      </c>
      <c r="L973" s="1">
        <v>60</v>
      </c>
      <c r="M973" s="1">
        <v>4</v>
      </c>
      <c r="N973" s="7">
        <f>IFERROR(Data[[#This Row],[Actual Time]]/Data[[#This Row],[QTY Complete]],"")</f>
        <v>15</v>
      </c>
      <c r="O973" s="7">
        <f>IF(I973=ProdFam[[#Headers],[Test]],(VLOOKUP(Data[[#This Row],[Product Family]],ProdFam[],3,FALSE)),(VLOOKUP(Data[[#This Row],[Product Family]],ProdFam[],2,FALSE)))</f>
        <v>32</v>
      </c>
    </row>
    <row r="974" spans="2:15" x14ac:dyDescent="0.25">
      <c r="B974" s="1">
        <f>WEEKNUM(Data[[#This Row],[Date]],1)</f>
        <v>2</v>
      </c>
      <c r="C974" s="15">
        <f>YEAR(Data[[#This Row],[Date]])</f>
        <v>2020</v>
      </c>
      <c r="D974" s="5">
        <v>43838</v>
      </c>
      <c r="E974" s="1" t="s">
        <v>131</v>
      </c>
      <c r="F974" s="1">
        <v>30137</v>
      </c>
      <c r="G974" s="1" t="s">
        <v>26</v>
      </c>
      <c r="H974" s="1" t="s">
        <v>113</v>
      </c>
      <c r="I974" s="1" t="s">
        <v>0</v>
      </c>
      <c r="J974" s="1">
        <v>10</v>
      </c>
      <c r="K974" s="1">
        <f>J974*(IF(I974=ProdFam[[#Headers],[Test]],(VLOOKUP(Data[[#This Row],[Product Family]],ProdFam[],3,FALSE)),(VLOOKUP(Data[[#This Row],[Product Family]],ProdFam[],2,FALSE))))</f>
        <v>470</v>
      </c>
      <c r="L974" s="1">
        <v>420</v>
      </c>
      <c r="M974" s="1">
        <v>10</v>
      </c>
      <c r="N974" s="7">
        <f>IFERROR(Data[[#This Row],[Actual Time]]/Data[[#This Row],[QTY Complete]],"")</f>
        <v>42</v>
      </c>
      <c r="O974" s="7">
        <f>IF(I974=ProdFam[[#Headers],[Test]],(VLOOKUP(Data[[#This Row],[Product Family]],ProdFam[],3,FALSE)),(VLOOKUP(Data[[#This Row],[Product Family]],ProdFam[],2,FALSE)))</f>
        <v>47</v>
      </c>
    </row>
    <row r="975" spans="2:15" x14ac:dyDescent="0.25">
      <c r="B975" s="1">
        <f>WEEKNUM(Data[[#This Row],[Date]],1)</f>
        <v>2</v>
      </c>
      <c r="C975" s="15">
        <f>YEAR(Data[[#This Row],[Date]])</f>
        <v>2020</v>
      </c>
      <c r="D975" s="5">
        <v>43840</v>
      </c>
      <c r="E975" s="1" t="s">
        <v>119</v>
      </c>
      <c r="F975" s="1">
        <v>30131</v>
      </c>
      <c r="G975" s="1" t="s">
        <v>15</v>
      </c>
      <c r="H975" s="1" t="s">
        <v>113</v>
      </c>
      <c r="I975" s="1" t="s">
        <v>0</v>
      </c>
      <c r="J975" s="1">
        <v>10</v>
      </c>
      <c r="K975" s="1">
        <f>J975*(IF(I975=ProdFam[[#Headers],[Test]],(VLOOKUP(Data[[#This Row],[Product Family]],ProdFam[],3,FALSE)),(VLOOKUP(Data[[#This Row],[Product Family]],ProdFam[],2,FALSE))))</f>
        <v>470</v>
      </c>
      <c r="L975" s="1">
        <v>240</v>
      </c>
      <c r="M975" s="1">
        <v>10</v>
      </c>
      <c r="N975" s="7">
        <f>IFERROR(Data[[#This Row],[Actual Time]]/Data[[#This Row],[QTY Complete]],"")</f>
        <v>24</v>
      </c>
      <c r="O975" s="7">
        <f>IF(I975=ProdFam[[#Headers],[Test]],(VLOOKUP(Data[[#This Row],[Product Family]],ProdFam[],3,FALSE)),(VLOOKUP(Data[[#This Row],[Product Family]],ProdFam[],2,FALSE)))</f>
        <v>47</v>
      </c>
    </row>
    <row r="976" spans="2:15" x14ac:dyDescent="0.25">
      <c r="B976" s="1">
        <f>WEEKNUM(Data[[#This Row],[Date]],1)</f>
        <v>2</v>
      </c>
      <c r="C976" s="15">
        <f>YEAR(Data[[#This Row],[Date]])</f>
        <v>2020</v>
      </c>
      <c r="D976" s="5">
        <v>43840</v>
      </c>
      <c r="E976" s="1" t="s">
        <v>119</v>
      </c>
      <c r="F976" s="1">
        <v>30162</v>
      </c>
      <c r="G976" s="1" t="s">
        <v>13</v>
      </c>
      <c r="H976" s="1" t="s">
        <v>113</v>
      </c>
      <c r="I976" s="1" t="s">
        <v>0</v>
      </c>
      <c r="J976" s="1">
        <v>4</v>
      </c>
      <c r="K976" s="1">
        <f>J976*(IF(I976=ProdFam[[#Headers],[Test]],(VLOOKUP(Data[[#This Row],[Product Family]],ProdFam[],3,FALSE)),(VLOOKUP(Data[[#This Row],[Product Family]],ProdFam[],2,FALSE))))</f>
        <v>188</v>
      </c>
      <c r="L976" s="1">
        <v>240</v>
      </c>
      <c r="M976" s="1">
        <v>4</v>
      </c>
      <c r="N976" s="7">
        <f>IFERROR(Data[[#This Row],[Actual Time]]/Data[[#This Row],[QTY Complete]],"")</f>
        <v>60</v>
      </c>
      <c r="O976" s="7">
        <f>IF(I976=ProdFam[[#Headers],[Test]],(VLOOKUP(Data[[#This Row],[Product Family]],ProdFam[],3,FALSE)),(VLOOKUP(Data[[#This Row],[Product Family]],ProdFam[],2,FALSE)))</f>
        <v>47</v>
      </c>
    </row>
    <row r="977" spans="2:15" x14ac:dyDescent="0.25">
      <c r="B977" s="1">
        <f>WEEKNUM(Data[[#This Row],[Date]],1)</f>
        <v>2</v>
      </c>
      <c r="C977" s="15">
        <f>YEAR(Data[[#This Row],[Date]])</f>
        <v>2020</v>
      </c>
      <c r="D977" s="5">
        <v>43840</v>
      </c>
      <c r="E977" s="1" t="s">
        <v>119</v>
      </c>
      <c r="F977" s="1">
        <v>30150</v>
      </c>
      <c r="G977" s="1" t="s">
        <v>44</v>
      </c>
      <c r="H977" s="1" t="s">
        <v>113</v>
      </c>
      <c r="I977" s="1" t="s">
        <v>0</v>
      </c>
      <c r="J977" s="1">
        <v>4</v>
      </c>
      <c r="K977" s="1">
        <f>J977*(IF(I977=ProdFam[[#Headers],[Test]],(VLOOKUP(Data[[#This Row],[Product Family]],ProdFam[],3,FALSE)),(VLOOKUP(Data[[#This Row],[Product Family]],ProdFam[],2,FALSE))))</f>
        <v>188</v>
      </c>
      <c r="L977" s="1">
        <v>240</v>
      </c>
      <c r="M977" s="1">
        <v>4</v>
      </c>
      <c r="N977" s="7">
        <f>IFERROR(Data[[#This Row],[Actual Time]]/Data[[#This Row],[QTY Complete]],"")</f>
        <v>60</v>
      </c>
      <c r="O977" s="7">
        <f>IF(I977=ProdFam[[#Headers],[Test]],(VLOOKUP(Data[[#This Row],[Product Family]],ProdFam[],3,FALSE)),(VLOOKUP(Data[[#This Row],[Product Family]],ProdFam[],2,FALSE)))</f>
        <v>47</v>
      </c>
    </row>
    <row r="978" spans="2:15" x14ac:dyDescent="0.25">
      <c r="B978" s="1">
        <f>WEEKNUM(Data[[#This Row],[Date]],1)</f>
        <v>2</v>
      </c>
      <c r="C978" s="15">
        <f>YEAR(Data[[#This Row],[Date]])</f>
        <v>2020</v>
      </c>
      <c r="D978" s="5">
        <v>43841</v>
      </c>
      <c r="E978" s="1" t="s">
        <v>119</v>
      </c>
      <c r="F978" s="1">
        <v>30149</v>
      </c>
      <c r="G978" s="1" t="s">
        <v>60</v>
      </c>
      <c r="H978" s="1" t="s">
        <v>113</v>
      </c>
      <c r="I978" s="1" t="s">
        <v>0</v>
      </c>
      <c r="J978" s="1">
        <v>5</v>
      </c>
      <c r="K978" s="1">
        <f>J978*(IF(I978=ProdFam[[#Headers],[Test]],(VLOOKUP(Data[[#This Row],[Product Family]],ProdFam[],3,FALSE)),(VLOOKUP(Data[[#This Row],[Product Family]],ProdFam[],2,FALSE))))</f>
        <v>235</v>
      </c>
      <c r="L978" s="1">
        <v>116</v>
      </c>
      <c r="M978" s="1">
        <v>5</v>
      </c>
      <c r="N978" s="7">
        <f>IFERROR(Data[[#This Row],[Actual Time]]/Data[[#This Row],[QTY Complete]],"")</f>
        <v>23.2</v>
      </c>
      <c r="O978" s="7">
        <f>IF(I978=ProdFam[[#Headers],[Test]],(VLOOKUP(Data[[#This Row],[Product Family]],ProdFam[],3,FALSE)),(VLOOKUP(Data[[#This Row],[Product Family]],ProdFam[],2,FALSE)))</f>
        <v>47</v>
      </c>
    </row>
    <row r="979" spans="2:15" x14ac:dyDescent="0.25">
      <c r="B979" s="1">
        <f>WEEKNUM(Data[[#This Row],[Date]],1)</f>
        <v>2</v>
      </c>
      <c r="C979" s="15">
        <f>YEAR(Data[[#This Row],[Date]])</f>
        <v>2020</v>
      </c>
      <c r="D979" s="5">
        <v>43841</v>
      </c>
      <c r="E979" s="1" t="s">
        <v>119</v>
      </c>
      <c r="F979" s="1">
        <v>30146</v>
      </c>
      <c r="G979" s="1" t="s">
        <v>25</v>
      </c>
      <c r="H979" s="1" t="s">
        <v>113</v>
      </c>
      <c r="I979" s="1" t="s">
        <v>0</v>
      </c>
      <c r="J979" s="1">
        <v>10</v>
      </c>
      <c r="K979" s="1">
        <f>J979*(IF(I979=ProdFam[[#Headers],[Test]],(VLOOKUP(Data[[#This Row],[Product Family]],ProdFam[],3,FALSE)),(VLOOKUP(Data[[#This Row],[Product Family]],ProdFam[],2,FALSE))))</f>
        <v>470</v>
      </c>
      <c r="L979" s="1">
        <v>197</v>
      </c>
      <c r="M979" s="1">
        <v>10</v>
      </c>
      <c r="N979" s="7">
        <f>IFERROR(Data[[#This Row],[Actual Time]]/Data[[#This Row],[QTY Complete]],"")</f>
        <v>19.7</v>
      </c>
      <c r="O979" s="7">
        <f>IF(I979=ProdFam[[#Headers],[Test]],(VLOOKUP(Data[[#This Row],[Product Family]],ProdFam[],3,FALSE)),(VLOOKUP(Data[[#This Row],[Product Family]],ProdFam[],2,FALSE)))</f>
        <v>47</v>
      </c>
    </row>
    <row r="980" spans="2:15" x14ac:dyDescent="0.25">
      <c r="B980" s="1">
        <f>WEEKNUM(Data[[#This Row],[Date]],1)</f>
        <v>3</v>
      </c>
      <c r="C980" s="15">
        <f>YEAR(Data[[#This Row],[Date]])</f>
        <v>2020</v>
      </c>
      <c r="D980" s="5">
        <v>43847</v>
      </c>
      <c r="E980" s="1" t="s">
        <v>117</v>
      </c>
      <c r="F980" s="1">
        <v>30173</v>
      </c>
      <c r="G980" s="1" t="s">
        <v>26</v>
      </c>
      <c r="H980" s="1" t="s">
        <v>113</v>
      </c>
      <c r="I980" s="1" t="s">
        <v>1</v>
      </c>
      <c r="J980" s="1">
        <v>10</v>
      </c>
      <c r="K980" s="1">
        <f>J980*(IF(I980=ProdFam[[#Headers],[Test]],(VLOOKUP(Data[[#This Row],[Product Family]],ProdFam[],3,FALSE)),(VLOOKUP(Data[[#This Row],[Product Family]],ProdFam[],2,FALSE))))</f>
        <v>320</v>
      </c>
      <c r="L980" s="1">
        <v>177</v>
      </c>
      <c r="M980" s="1">
        <v>7</v>
      </c>
      <c r="N980" s="7">
        <f>IFERROR(Data[[#This Row],[Actual Time]]/Data[[#This Row],[QTY Complete]],"")</f>
        <v>25.285714285714285</v>
      </c>
      <c r="O980" s="7">
        <f>IF(I980=ProdFam[[#Headers],[Test]],(VLOOKUP(Data[[#This Row],[Product Family]],ProdFam[],3,FALSE)),(VLOOKUP(Data[[#This Row],[Product Family]],ProdFam[],2,FALSE)))</f>
        <v>32</v>
      </c>
    </row>
    <row r="981" spans="2:15" x14ac:dyDescent="0.25">
      <c r="B981" s="1">
        <f>WEEKNUM(Data[[#This Row],[Date]],1)</f>
        <v>4</v>
      </c>
      <c r="C981" s="15">
        <f>YEAR(Data[[#This Row],[Date]])</f>
        <v>2020</v>
      </c>
      <c r="D981" s="5">
        <v>43851</v>
      </c>
      <c r="E981" s="1" t="s">
        <v>128</v>
      </c>
      <c r="F981" s="1">
        <v>30460</v>
      </c>
      <c r="G981" s="1" t="s">
        <v>190</v>
      </c>
      <c r="H981" s="1" t="s">
        <v>162</v>
      </c>
      <c r="I981" s="1" t="s">
        <v>0</v>
      </c>
      <c r="J981" s="1">
        <v>5</v>
      </c>
      <c r="K981" s="1">
        <f>J981*(IF(I981=ProdFam[[#Headers],[Test]],(VLOOKUP(Data[[#This Row],[Product Family]],ProdFam[],3,FALSE)),(VLOOKUP(Data[[#This Row],[Product Family]],ProdFam[],2,FALSE))))</f>
        <v>50</v>
      </c>
      <c r="L981" s="1">
        <v>31</v>
      </c>
      <c r="M981" s="1">
        <v>5</v>
      </c>
      <c r="N981" s="7">
        <f>IFERROR(Data[[#This Row],[Actual Time]]/Data[[#This Row],[QTY Complete]],"")</f>
        <v>6.2</v>
      </c>
      <c r="O981" s="7">
        <f>IF(I981=ProdFam[[#Headers],[Test]],(VLOOKUP(Data[[#This Row],[Product Family]],ProdFam[],3,FALSE)),(VLOOKUP(Data[[#This Row],[Product Family]],ProdFam[],2,FALSE)))</f>
        <v>10</v>
      </c>
    </row>
    <row r="982" spans="2:15" x14ac:dyDescent="0.25">
      <c r="B982" s="1">
        <f>WEEKNUM(Data[[#This Row],[Date]],1)</f>
        <v>4</v>
      </c>
      <c r="C982" s="15">
        <f>YEAR(Data[[#This Row],[Date]])</f>
        <v>2020</v>
      </c>
      <c r="D982" s="5">
        <v>43851</v>
      </c>
      <c r="E982" s="1" t="s">
        <v>128</v>
      </c>
      <c r="F982" s="1">
        <v>30459</v>
      </c>
      <c r="G982" s="1" t="s">
        <v>10</v>
      </c>
      <c r="H982" s="1" t="s">
        <v>162</v>
      </c>
      <c r="I982" s="1" t="s">
        <v>0</v>
      </c>
      <c r="J982" s="1">
        <v>1</v>
      </c>
      <c r="K982" s="1">
        <f>J982*(IF(I982=ProdFam[[#Headers],[Test]],(VLOOKUP(Data[[#This Row],[Product Family]],ProdFam[],3,FALSE)),(VLOOKUP(Data[[#This Row],[Product Family]],ProdFam[],2,FALSE))))</f>
        <v>10</v>
      </c>
      <c r="L982" s="1">
        <v>7</v>
      </c>
      <c r="M982" s="1">
        <v>1</v>
      </c>
      <c r="N982" s="7">
        <f>IFERROR(Data[[#This Row],[Actual Time]]/Data[[#This Row],[QTY Complete]],"")</f>
        <v>7</v>
      </c>
      <c r="O982" s="7">
        <f>IF(I982=ProdFam[[#Headers],[Test]],(VLOOKUP(Data[[#This Row],[Product Family]],ProdFam[],3,FALSE)),(VLOOKUP(Data[[#This Row],[Product Family]],ProdFam[],2,FALSE)))</f>
        <v>10</v>
      </c>
    </row>
    <row r="983" spans="2:15" x14ac:dyDescent="0.25">
      <c r="B983" s="1">
        <f>WEEKNUM(Data[[#This Row],[Date]],1)</f>
        <v>4</v>
      </c>
      <c r="C983" s="15">
        <f>YEAR(Data[[#This Row],[Date]])</f>
        <v>2020</v>
      </c>
      <c r="D983" s="5">
        <v>43851</v>
      </c>
      <c r="E983" s="1" t="s">
        <v>128</v>
      </c>
      <c r="F983" s="1">
        <v>30461</v>
      </c>
      <c r="G983" s="1" t="s">
        <v>191</v>
      </c>
      <c r="H983" s="1" t="s">
        <v>162</v>
      </c>
      <c r="I983" s="1" t="s">
        <v>0</v>
      </c>
      <c r="J983" s="1">
        <v>1</v>
      </c>
      <c r="K983" s="1">
        <f>J983*(IF(I983=ProdFam[[#Headers],[Test]],(VLOOKUP(Data[[#This Row],[Product Family]],ProdFam[],3,FALSE)),(VLOOKUP(Data[[#This Row],[Product Family]],ProdFam[],2,FALSE))))</f>
        <v>10</v>
      </c>
      <c r="L983" s="1">
        <v>6</v>
      </c>
      <c r="M983" s="1">
        <v>1</v>
      </c>
      <c r="N983" s="7">
        <f>IFERROR(Data[[#This Row],[Actual Time]]/Data[[#This Row],[QTY Complete]],"")</f>
        <v>6</v>
      </c>
      <c r="O983" s="7">
        <f>IF(I983=ProdFam[[#Headers],[Test]],(VLOOKUP(Data[[#This Row],[Product Family]],ProdFam[],3,FALSE)),(VLOOKUP(Data[[#This Row],[Product Family]],ProdFam[],2,FALSE)))</f>
        <v>10</v>
      </c>
    </row>
    <row r="984" spans="2:15" x14ac:dyDescent="0.25">
      <c r="B984" s="1">
        <f>WEEKNUM(Data[[#This Row],[Date]],1)</f>
        <v>4</v>
      </c>
      <c r="C984" s="15">
        <f>YEAR(Data[[#This Row],[Date]])</f>
        <v>2020</v>
      </c>
      <c r="D984" s="5">
        <v>43851</v>
      </c>
      <c r="E984" s="1" t="s">
        <v>128</v>
      </c>
      <c r="F984" s="1">
        <v>65305</v>
      </c>
      <c r="G984" s="1" t="s">
        <v>28</v>
      </c>
      <c r="H984" s="1" t="s">
        <v>162</v>
      </c>
      <c r="I984" s="1" t="s">
        <v>0</v>
      </c>
      <c r="J984" s="1">
        <v>1</v>
      </c>
      <c r="K984" s="1">
        <f>J984*(IF(I984=ProdFam[[#Headers],[Test]],(VLOOKUP(Data[[#This Row],[Product Family]],ProdFam[],3,FALSE)),(VLOOKUP(Data[[#This Row],[Product Family]],ProdFam[],2,FALSE))))</f>
        <v>10</v>
      </c>
      <c r="L984" s="1">
        <v>4</v>
      </c>
      <c r="M984" s="1">
        <v>1</v>
      </c>
      <c r="N984" s="7">
        <f>IFERROR(Data[[#This Row],[Actual Time]]/Data[[#This Row],[QTY Complete]],"")</f>
        <v>4</v>
      </c>
      <c r="O984" s="7">
        <f>IF(I984=ProdFam[[#Headers],[Test]],(VLOOKUP(Data[[#This Row],[Product Family]],ProdFam[],3,FALSE)),(VLOOKUP(Data[[#This Row],[Product Family]],ProdFam[],2,FALSE)))</f>
        <v>10</v>
      </c>
    </row>
    <row r="985" spans="2:15" x14ac:dyDescent="0.25">
      <c r="B985" s="1">
        <f>WEEKNUM(Data[[#This Row],[Date]],1)</f>
        <v>4</v>
      </c>
      <c r="C985" s="15">
        <f>YEAR(Data[[#This Row],[Date]])</f>
        <v>2020</v>
      </c>
      <c r="D985" s="5">
        <v>43851</v>
      </c>
      <c r="E985" s="1" t="s">
        <v>128</v>
      </c>
      <c r="F985" s="1">
        <v>65946</v>
      </c>
      <c r="G985" s="1" t="s">
        <v>28</v>
      </c>
      <c r="H985" s="1" t="s">
        <v>162</v>
      </c>
      <c r="I985" s="1" t="s">
        <v>0</v>
      </c>
      <c r="J985" s="1">
        <v>1</v>
      </c>
      <c r="K985" s="1">
        <f>J985*(IF(I985=ProdFam[[#Headers],[Test]],(VLOOKUP(Data[[#This Row],[Product Family]],ProdFam[],3,FALSE)),(VLOOKUP(Data[[#This Row],[Product Family]],ProdFam[],2,FALSE))))</f>
        <v>10</v>
      </c>
      <c r="L985" s="1">
        <v>11</v>
      </c>
      <c r="M985" s="1">
        <v>1</v>
      </c>
      <c r="N985" s="7">
        <f>IFERROR(Data[[#This Row],[Actual Time]]/Data[[#This Row],[QTY Complete]],"")</f>
        <v>11</v>
      </c>
      <c r="O985" s="7">
        <f>IF(I985=ProdFam[[#Headers],[Test]],(VLOOKUP(Data[[#This Row],[Product Family]],ProdFam[],3,FALSE)),(VLOOKUP(Data[[#This Row],[Product Family]],ProdFam[],2,FALSE)))</f>
        <v>10</v>
      </c>
    </row>
    <row r="986" spans="2:15" x14ac:dyDescent="0.25">
      <c r="B986" s="1">
        <f>WEEKNUM(Data[[#This Row],[Date]],1)</f>
        <v>4</v>
      </c>
      <c r="C986" s="15">
        <f>YEAR(Data[[#This Row],[Date]])</f>
        <v>2020</v>
      </c>
      <c r="D986" s="5">
        <v>43851</v>
      </c>
      <c r="E986" s="1" t="s">
        <v>128</v>
      </c>
      <c r="F986" s="1">
        <v>62554</v>
      </c>
      <c r="G986" s="1" t="s">
        <v>29</v>
      </c>
      <c r="H986" s="1" t="s">
        <v>162</v>
      </c>
      <c r="I986" s="1" t="s">
        <v>0</v>
      </c>
      <c r="J986" s="1">
        <v>2</v>
      </c>
      <c r="K986" s="1">
        <f>J986*(IF(I986=ProdFam[[#Headers],[Test]],(VLOOKUP(Data[[#This Row],[Product Family]],ProdFam[],3,FALSE)),(VLOOKUP(Data[[#This Row],[Product Family]],ProdFam[],2,FALSE))))</f>
        <v>20</v>
      </c>
      <c r="L986" s="1">
        <v>15</v>
      </c>
      <c r="M986" s="1">
        <v>2</v>
      </c>
      <c r="N986" s="7">
        <f>IFERROR(Data[[#This Row],[Actual Time]]/Data[[#This Row],[QTY Complete]],"")</f>
        <v>7.5</v>
      </c>
      <c r="O986" s="7">
        <f>IF(I986=ProdFam[[#Headers],[Test]],(VLOOKUP(Data[[#This Row],[Product Family]],ProdFam[],3,FALSE)),(VLOOKUP(Data[[#This Row],[Product Family]],ProdFam[],2,FALSE)))</f>
        <v>10</v>
      </c>
    </row>
    <row r="987" spans="2:15" x14ac:dyDescent="0.25">
      <c r="B987" s="1">
        <f>WEEKNUM(Data[[#This Row],[Date]],1)</f>
        <v>4</v>
      </c>
      <c r="C987" s="15">
        <f>YEAR(Data[[#This Row],[Date]])</f>
        <v>2020</v>
      </c>
      <c r="D987" s="5">
        <v>43851</v>
      </c>
      <c r="E987" s="1" t="s">
        <v>128</v>
      </c>
      <c r="F987" s="1">
        <v>65603</v>
      </c>
      <c r="G987" s="1" t="s">
        <v>192</v>
      </c>
      <c r="H987" s="1" t="s">
        <v>162</v>
      </c>
      <c r="I987" s="1" t="s">
        <v>0</v>
      </c>
      <c r="J987" s="1">
        <v>3</v>
      </c>
      <c r="K987" s="1">
        <f>J987*(IF(I987=ProdFam[[#Headers],[Test]],(VLOOKUP(Data[[#This Row],[Product Family]],ProdFam[],3,FALSE)),(VLOOKUP(Data[[#This Row],[Product Family]],ProdFam[],2,FALSE))))</f>
        <v>30</v>
      </c>
      <c r="L987" s="1">
        <v>14</v>
      </c>
      <c r="M987" s="1">
        <v>3</v>
      </c>
      <c r="N987" s="7">
        <f>IFERROR(Data[[#This Row],[Actual Time]]/Data[[#This Row],[QTY Complete]],"")</f>
        <v>4.666666666666667</v>
      </c>
      <c r="O987" s="7">
        <f>IF(I987=ProdFam[[#Headers],[Test]],(VLOOKUP(Data[[#This Row],[Product Family]],ProdFam[],3,FALSE)),(VLOOKUP(Data[[#This Row],[Product Family]],ProdFam[],2,FALSE)))</f>
        <v>10</v>
      </c>
    </row>
    <row r="988" spans="2:15" x14ac:dyDescent="0.25">
      <c r="B988" s="1">
        <f>WEEKNUM(Data[[#This Row],[Date]],1)</f>
        <v>4</v>
      </c>
      <c r="C988" s="15">
        <f>YEAR(Data[[#This Row],[Date]])</f>
        <v>2020</v>
      </c>
      <c r="D988" s="5">
        <v>43851</v>
      </c>
      <c r="E988" s="1" t="s">
        <v>128</v>
      </c>
      <c r="F988" s="1">
        <v>65727</v>
      </c>
      <c r="G988" s="1" t="s">
        <v>26</v>
      </c>
      <c r="H988" s="1" t="s">
        <v>162</v>
      </c>
      <c r="I988" s="1" t="s">
        <v>0</v>
      </c>
      <c r="J988" s="1">
        <v>1</v>
      </c>
      <c r="K988" s="1">
        <f>J988*(IF(I988=ProdFam[[#Headers],[Test]],(VLOOKUP(Data[[#This Row],[Product Family]],ProdFam[],3,FALSE)),(VLOOKUP(Data[[#This Row],[Product Family]],ProdFam[],2,FALSE))))</f>
        <v>10</v>
      </c>
      <c r="L988" s="1">
        <v>17</v>
      </c>
      <c r="M988" s="1">
        <v>1</v>
      </c>
      <c r="N988" s="7">
        <f>IFERROR(Data[[#This Row],[Actual Time]]/Data[[#This Row],[QTY Complete]],"")</f>
        <v>17</v>
      </c>
      <c r="O988" s="7">
        <f>IF(I988=ProdFam[[#Headers],[Test]],(VLOOKUP(Data[[#This Row],[Product Family]],ProdFam[],3,FALSE)),(VLOOKUP(Data[[#This Row],[Product Family]],ProdFam[],2,FALSE)))</f>
        <v>10</v>
      </c>
    </row>
    <row r="989" spans="2:15" x14ac:dyDescent="0.25">
      <c r="B989" s="1">
        <f>WEEKNUM(Data[[#This Row],[Date]],1)</f>
        <v>4</v>
      </c>
      <c r="C989" s="15">
        <f>YEAR(Data[[#This Row],[Date]])</f>
        <v>2020</v>
      </c>
      <c r="D989" s="5">
        <v>43851</v>
      </c>
      <c r="E989" s="1" t="s">
        <v>128</v>
      </c>
      <c r="F989" s="1">
        <v>65961</v>
      </c>
      <c r="G989" s="1" t="s">
        <v>26</v>
      </c>
      <c r="H989" s="1" t="s">
        <v>162</v>
      </c>
      <c r="I989" s="1" t="s">
        <v>0</v>
      </c>
      <c r="J989" s="1">
        <v>1</v>
      </c>
      <c r="K989" s="1">
        <f>J989*(IF(I989=ProdFam[[#Headers],[Test]],(VLOOKUP(Data[[#This Row],[Product Family]],ProdFam[],3,FALSE)),(VLOOKUP(Data[[#This Row],[Product Family]],ProdFam[],2,FALSE))))</f>
        <v>10</v>
      </c>
      <c r="L989" s="1">
        <v>8</v>
      </c>
      <c r="M989" s="1">
        <v>1</v>
      </c>
      <c r="N989" s="7">
        <f>IFERROR(Data[[#This Row],[Actual Time]]/Data[[#This Row],[QTY Complete]],"")</f>
        <v>8</v>
      </c>
      <c r="O989" s="7">
        <f>IF(I989=ProdFam[[#Headers],[Test]],(VLOOKUP(Data[[#This Row],[Product Family]],ProdFam[],3,FALSE)),(VLOOKUP(Data[[#This Row],[Product Family]],ProdFam[],2,FALSE)))</f>
        <v>10</v>
      </c>
    </row>
    <row r="990" spans="2:15" x14ac:dyDescent="0.25">
      <c r="B990" s="1">
        <f>WEEKNUM(Data[[#This Row],[Date]],1)</f>
        <v>4</v>
      </c>
      <c r="C990" s="15">
        <f>YEAR(Data[[#This Row],[Date]])</f>
        <v>2020</v>
      </c>
      <c r="D990" s="5">
        <v>43851</v>
      </c>
      <c r="E990" s="1" t="s">
        <v>128</v>
      </c>
      <c r="F990" s="1">
        <v>63516</v>
      </c>
      <c r="G990" s="1" t="s">
        <v>26</v>
      </c>
      <c r="H990" s="1" t="s">
        <v>162</v>
      </c>
      <c r="I990" s="1" t="s">
        <v>0</v>
      </c>
      <c r="J990" s="1">
        <v>1</v>
      </c>
      <c r="K990" s="1">
        <f>J990*(IF(I990=ProdFam[[#Headers],[Test]],(VLOOKUP(Data[[#This Row],[Product Family]],ProdFam[],3,FALSE)),(VLOOKUP(Data[[#This Row],[Product Family]],ProdFam[],2,FALSE))))</f>
        <v>10</v>
      </c>
      <c r="L990" s="1">
        <v>6</v>
      </c>
      <c r="M990" s="1">
        <v>1</v>
      </c>
      <c r="N990" s="7">
        <f>IFERROR(Data[[#This Row],[Actual Time]]/Data[[#This Row],[QTY Complete]],"")</f>
        <v>6</v>
      </c>
      <c r="O990" s="7">
        <f>IF(I990=ProdFam[[#Headers],[Test]],(VLOOKUP(Data[[#This Row],[Product Family]],ProdFam[],3,FALSE)),(VLOOKUP(Data[[#This Row],[Product Family]],ProdFam[],2,FALSE)))</f>
        <v>10</v>
      </c>
    </row>
    <row r="991" spans="2:15" x14ac:dyDescent="0.25">
      <c r="B991" s="1">
        <f>WEEKNUM(Data[[#This Row],[Date]],1)</f>
        <v>4</v>
      </c>
      <c r="C991" s="15">
        <f>YEAR(Data[[#This Row],[Date]])</f>
        <v>2020</v>
      </c>
      <c r="D991" s="5">
        <v>43851</v>
      </c>
      <c r="E991" s="1" t="s">
        <v>128</v>
      </c>
      <c r="F991" s="1">
        <v>30316</v>
      </c>
      <c r="G991" s="1" t="s">
        <v>193</v>
      </c>
      <c r="H991" s="1" t="s">
        <v>162</v>
      </c>
      <c r="I991" s="1" t="s">
        <v>0</v>
      </c>
      <c r="J991" s="1">
        <v>6</v>
      </c>
      <c r="K991" s="1">
        <f>J991*(IF(I991=ProdFam[[#Headers],[Test]],(VLOOKUP(Data[[#This Row],[Product Family]],ProdFam[],3,FALSE)),(VLOOKUP(Data[[#This Row],[Product Family]],ProdFam[],2,FALSE))))</f>
        <v>60</v>
      </c>
      <c r="L991" s="1">
        <v>24</v>
      </c>
      <c r="M991" s="1">
        <v>2</v>
      </c>
      <c r="N991" s="7">
        <f>IFERROR(Data[[#This Row],[Actual Time]]/Data[[#This Row],[QTY Complete]],"")</f>
        <v>12</v>
      </c>
      <c r="O991" s="7">
        <f>IF(I991=ProdFam[[#Headers],[Test]],(VLOOKUP(Data[[#This Row],[Product Family]],ProdFam[],3,FALSE)),(VLOOKUP(Data[[#This Row],[Product Family]],ProdFam[],2,FALSE)))</f>
        <v>10</v>
      </c>
    </row>
    <row r="992" spans="2:15" x14ac:dyDescent="0.25">
      <c r="B992" s="1">
        <f>WEEKNUM(Data[[#This Row],[Date]],1)</f>
        <v>4</v>
      </c>
      <c r="C992" s="15">
        <f>YEAR(Data[[#This Row],[Date]])</f>
        <v>2020</v>
      </c>
      <c r="D992" s="5">
        <v>43851</v>
      </c>
      <c r="E992" s="1" t="s">
        <v>128</v>
      </c>
      <c r="F992" s="1">
        <v>30316</v>
      </c>
      <c r="G992" s="1" t="s">
        <v>193</v>
      </c>
      <c r="H992" s="1" t="s">
        <v>162</v>
      </c>
      <c r="I992" s="1" t="s">
        <v>0</v>
      </c>
      <c r="J992" s="1">
        <v>4</v>
      </c>
      <c r="K992" s="1">
        <f>J992*(IF(I992=ProdFam[[#Headers],[Test]],(VLOOKUP(Data[[#This Row],[Product Family]],ProdFam[],3,FALSE)),(VLOOKUP(Data[[#This Row],[Product Family]],ProdFam[],2,FALSE))))</f>
        <v>40</v>
      </c>
      <c r="L992" s="1">
        <v>24</v>
      </c>
      <c r="M992" s="1">
        <v>4</v>
      </c>
      <c r="N992" s="7">
        <f>IFERROR(Data[[#This Row],[Actual Time]]/Data[[#This Row],[QTY Complete]],"")</f>
        <v>6</v>
      </c>
      <c r="O992" s="7">
        <f>IF(I992=ProdFam[[#Headers],[Test]],(VLOOKUP(Data[[#This Row],[Product Family]],ProdFam[],3,FALSE)),(VLOOKUP(Data[[#This Row],[Product Family]],ProdFam[],2,FALSE)))</f>
        <v>10</v>
      </c>
    </row>
    <row r="993" spans="2:15" x14ac:dyDescent="0.25">
      <c r="B993" s="1">
        <f>WEEKNUM(Data[[#This Row],[Date]],1)</f>
        <v>4</v>
      </c>
      <c r="C993" s="15">
        <f>YEAR(Data[[#This Row],[Date]])</f>
        <v>2020</v>
      </c>
      <c r="D993" s="5">
        <v>43851</v>
      </c>
      <c r="E993" s="1" t="s">
        <v>128</v>
      </c>
      <c r="F993" s="1">
        <v>58729</v>
      </c>
      <c r="G993" s="1" t="s">
        <v>29</v>
      </c>
      <c r="H993" s="1" t="s">
        <v>162</v>
      </c>
      <c r="I993" s="1" t="s">
        <v>0</v>
      </c>
      <c r="J993" s="1">
        <v>1</v>
      </c>
      <c r="K993" s="1">
        <f>J993*(IF(I993=ProdFam[[#Headers],[Test]],(VLOOKUP(Data[[#This Row],[Product Family]],ProdFam[],3,FALSE)),(VLOOKUP(Data[[#This Row],[Product Family]],ProdFam[],2,FALSE))))</f>
        <v>10</v>
      </c>
      <c r="L993" s="1">
        <v>7</v>
      </c>
      <c r="M993" s="1">
        <v>1</v>
      </c>
      <c r="N993" s="7">
        <f>IFERROR(Data[[#This Row],[Actual Time]]/Data[[#This Row],[QTY Complete]],"")</f>
        <v>7</v>
      </c>
      <c r="O993" s="7">
        <f>IF(I993=ProdFam[[#Headers],[Test]],(VLOOKUP(Data[[#This Row],[Product Family]],ProdFam[],3,FALSE)),(VLOOKUP(Data[[#This Row],[Product Family]],ProdFam[],2,FALSE)))</f>
        <v>10</v>
      </c>
    </row>
    <row r="994" spans="2:15" x14ac:dyDescent="0.25">
      <c r="B994" s="1">
        <f>WEEKNUM(Data[[#This Row],[Date]],1)</f>
        <v>4</v>
      </c>
      <c r="C994" s="15">
        <f>YEAR(Data[[#This Row],[Date]])</f>
        <v>2020</v>
      </c>
      <c r="D994" s="5">
        <v>43851</v>
      </c>
      <c r="E994" s="1" t="s">
        <v>128</v>
      </c>
      <c r="F994" s="1">
        <v>66558</v>
      </c>
      <c r="G994" s="1" t="s">
        <v>28</v>
      </c>
      <c r="H994" s="1" t="s">
        <v>162</v>
      </c>
      <c r="I994" s="1" t="s">
        <v>0</v>
      </c>
      <c r="J994" s="1">
        <v>1</v>
      </c>
      <c r="K994" s="1">
        <f>J994*(IF(I994=ProdFam[[#Headers],[Test]],(VLOOKUP(Data[[#This Row],[Product Family]],ProdFam[],3,FALSE)),(VLOOKUP(Data[[#This Row],[Product Family]],ProdFam[],2,FALSE))))</f>
        <v>10</v>
      </c>
      <c r="L994" s="1">
        <v>10</v>
      </c>
      <c r="M994" s="1">
        <v>1</v>
      </c>
      <c r="N994" s="7">
        <f>IFERROR(Data[[#This Row],[Actual Time]]/Data[[#This Row],[QTY Complete]],"")</f>
        <v>10</v>
      </c>
      <c r="O994" s="7">
        <f>IF(I994=ProdFam[[#Headers],[Test]],(VLOOKUP(Data[[#This Row],[Product Family]],ProdFam[],3,FALSE)),(VLOOKUP(Data[[#This Row],[Product Family]],ProdFam[],2,FALSE)))</f>
        <v>10</v>
      </c>
    </row>
    <row r="995" spans="2:15" x14ac:dyDescent="0.25">
      <c r="B995" s="1">
        <f>WEEKNUM(Data[[#This Row],[Date]],1)</f>
        <v>4</v>
      </c>
      <c r="C995" s="15">
        <f>YEAR(Data[[#This Row],[Date]])</f>
        <v>2020</v>
      </c>
      <c r="D995" s="5">
        <v>43851</v>
      </c>
      <c r="E995" s="1" t="s">
        <v>128</v>
      </c>
      <c r="F995" s="1">
        <v>30328</v>
      </c>
      <c r="G995" s="1" t="s">
        <v>46</v>
      </c>
      <c r="H995" s="1" t="s">
        <v>162</v>
      </c>
      <c r="I995" s="1" t="s">
        <v>0</v>
      </c>
      <c r="J995" s="1">
        <v>1</v>
      </c>
      <c r="K995" s="1">
        <f>J995*(IF(I995=ProdFam[[#Headers],[Test]],(VLOOKUP(Data[[#This Row],[Product Family]],ProdFam[],3,FALSE)),(VLOOKUP(Data[[#This Row],[Product Family]],ProdFam[],2,FALSE))))</f>
        <v>10</v>
      </c>
      <c r="L995" s="1">
        <v>28</v>
      </c>
      <c r="M995" s="1">
        <v>1</v>
      </c>
      <c r="N995" s="7">
        <f>IFERROR(Data[[#This Row],[Actual Time]]/Data[[#This Row],[QTY Complete]],"")</f>
        <v>28</v>
      </c>
      <c r="O995" s="7">
        <f>IF(I995=ProdFam[[#Headers],[Test]],(VLOOKUP(Data[[#This Row],[Product Family]],ProdFam[],3,FALSE)),(VLOOKUP(Data[[#This Row],[Product Family]],ProdFam[],2,FALSE)))</f>
        <v>10</v>
      </c>
    </row>
    <row r="996" spans="2:15" x14ac:dyDescent="0.25">
      <c r="B996" s="1">
        <f>WEEKNUM(Data[[#This Row],[Date]],1)</f>
        <v>4</v>
      </c>
      <c r="C996" s="15">
        <f>YEAR(Data[[#This Row],[Date]])</f>
        <v>2020</v>
      </c>
      <c r="D996" s="5">
        <v>43851</v>
      </c>
      <c r="E996" s="1" t="s">
        <v>128</v>
      </c>
      <c r="F996" s="1">
        <v>30390</v>
      </c>
      <c r="G996" s="1" t="s">
        <v>194</v>
      </c>
      <c r="H996" s="1" t="s">
        <v>162</v>
      </c>
      <c r="I996" s="1" t="s">
        <v>0</v>
      </c>
      <c r="J996" s="1">
        <v>3</v>
      </c>
      <c r="K996" s="1">
        <f>J996*(IF(I996=ProdFam[[#Headers],[Test]],(VLOOKUP(Data[[#This Row],[Product Family]],ProdFam[],3,FALSE)),(VLOOKUP(Data[[#This Row],[Product Family]],ProdFam[],2,FALSE))))</f>
        <v>30</v>
      </c>
      <c r="L996" s="1">
        <v>11</v>
      </c>
      <c r="M996" s="1">
        <v>1</v>
      </c>
      <c r="N996" s="7">
        <f>IFERROR(Data[[#This Row],[Actual Time]]/Data[[#This Row],[QTY Complete]],"")</f>
        <v>11</v>
      </c>
      <c r="O996" s="7">
        <f>IF(I996=ProdFam[[#Headers],[Test]],(VLOOKUP(Data[[#This Row],[Product Family]],ProdFam[],3,FALSE)),(VLOOKUP(Data[[#This Row],[Product Family]],ProdFam[],2,FALSE)))</f>
        <v>10</v>
      </c>
    </row>
    <row r="997" spans="2:15" x14ac:dyDescent="0.25">
      <c r="B997" s="1">
        <f>WEEKNUM(Data[[#This Row],[Date]],1)</f>
        <v>4</v>
      </c>
      <c r="C997" s="15">
        <f>YEAR(Data[[#This Row],[Date]])</f>
        <v>2020</v>
      </c>
      <c r="D997" s="5">
        <v>43851</v>
      </c>
      <c r="E997" s="1" t="s">
        <v>128</v>
      </c>
      <c r="F997" s="1">
        <v>65323</v>
      </c>
      <c r="G997" s="1" t="s">
        <v>26</v>
      </c>
      <c r="H997" s="1" t="s">
        <v>162</v>
      </c>
      <c r="I997" s="1" t="s">
        <v>0</v>
      </c>
      <c r="J997" s="1">
        <v>1</v>
      </c>
      <c r="K997" s="1">
        <f>J997*(IF(I997=ProdFam[[#Headers],[Test]],(VLOOKUP(Data[[#This Row],[Product Family]],ProdFam[],3,FALSE)),(VLOOKUP(Data[[#This Row],[Product Family]],ProdFam[],2,FALSE))))</f>
        <v>10</v>
      </c>
      <c r="L997" s="1">
        <v>8</v>
      </c>
      <c r="M997" s="1">
        <v>1</v>
      </c>
      <c r="N997" s="7">
        <f>IFERROR(Data[[#This Row],[Actual Time]]/Data[[#This Row],[QTY Complete]],"")</f>
        <v>8</v>
      </c>
      <c r="O997" s="7">
        <f>IF(I997=ProdFam[[#Headers],[Test]],(VLOOKUP(Data[[#This Row],[Product Family]],ProdFam[],3,FALSE)),(VLOOKUP(Data[[#This Row],[Product Family]],ProdFam[],2,FALSE)))</f>
        <v>10</v>
      </c>
    </row>
    <row r="998" spans="2:15" x14ac:dyDescent="0.25">
      <c r="B998" s="1">
        <f>WEEKNUM(Data[[#This Row],[Date]],1)</f>
        <v>4</v>
      </c>
      <c r="C998" s="15">
        <f>YEAR(Data[[#This Row],[Date]])</f>
        <v>2020</v>
      </c>
      <c r="D998" s="5">
        <v>43851</v>
      </c>
      <c r="E998" s="1" t="s">
        <v>128</v>
      </c>
      <c r="F998" s="1">
        <v>62639</v>
      </c>
      <c r="G998" s="1" t="s">
        <v>94</v>
      </c>
      <c r="H998" s="1" t="s">
        <v>162</v>
      </c>
      <c r="I998" s="1" t="s">
        <v>0</v>
      </c>
      <c r="J998" s="1">
        <v>1</v>
      </c>
      <c r="K998" s="1">
        <f>J998*(IF(I998=ProdFam[[#Headers],[Test]],(VLOOKUP(Data[[#This Row],[Product Family]],ProdFam[],3,FALSE)),(VLOOKUP(Data[[#This Row],[Product Family]],ProdFam[],2,FALSE))))</f>
        <v>10</v>
      </c>
      <c r="L998" s="1">
        <v>14</v>
      </c>
      <c r="M998" s="1">
        <v>1</v>
      </c>
      <c r="N998" s="7">
        <f>IFERROR(Data[[#This Row],[Actual Time]]/Data[[#This Row],[QTY Complete]],"")</f>
        <v>14</v>
      </c>
      <c r="O998" s="7">
        <f>IF(I998=ProdFam[[#Headers],[Test]],(VLOOKUP(Data[[#This Row],[Product Family]],ProdFam[],3,FALSE)),(VLOOKUP(Data[[#This Row],[Product Family]],ProdFam[],2,FALSE)))</f>
        <v>10</v>
      </c>
    </row>
    <row r="999" spans="2:15" x14ac:dyDescent="0.25">
      <c r="B999" s="1">
        <f>WEEKNUM(Data[[#This Row],[Date]],1)</f>
        <v>4</v>
      </c>
      <c r="C999" s="15">
        <f>YEAR(Data[[#This Row],[Date]])</f>
        <v>2020</v>
      </c>
      <c r="D999" s="5">
        <v>43851</v>
      </c>
      <c r="E999" s="1" t="s">
        <v>128</v>
      </c>
      <c r="F999" s="1">
        <v>65577</v>
      </c>
      <c r="G999" s="1" t="s">
        <v>28</v>
      </c>
      <c r="H999" s="1" t="s">
        <v>162</v>
      </c>
      <c r="I999" s="1" t="s">
        <v>0</v>
      </c>
      <c r="J999" s="1">
        <v>1</v>
      </c>
      <c r="K999" s="1">
        <f>J999*(IF(I999=ProdFam[[#Headers],[Test]],(VLOOKUP(Data[[#This Row],[Product Family]],ProdFam[],3,FALSE)),(VLOOKUP(Data[[#This Row],[Product Family]],ProdFam[],2,FALSE))))</f>
        <v>10</v>
      </c>
      <c r="L999" s="1">
        <v>54</v>
      </c>
      <c r="M999" s="1">
        <v>1</v>
      </c>
      <c r="N999" s="7">
        <f>IFERROR(Data[[#This Row],[Actual Time]]/Data[[#This Row],[QTY Complete]],"")</f>
        <v>54</v>
      </c>
      <c r="O999" s="7">
        <f>IF(I999=ProdFam[[#Headers],[Test]],(VLOOKUP(Data[[#This Row],[Product Family]],ProdFam[],3,FALSE)),(VLOOKUP(Data[[#This Row],[Product Family]],ProdFam[],2,FALSE)))</f>
        <v>10</v>
      </c>
    </row>
    <row r="1000" spans="2:15" x14ac:dyDescent="0.25">
      <c r="B1000" s="1">
        <f>WEEKNUM(Data[[#This Row],[Date]],1)</f>
        <v>4</v>
      </c>
      <c r="C1000" s="15">
        <f>YEAR(Data[[#This Row],[Date]])</f>
        <v>2020</v>
      </c>
      <c r="D1000" s="5">
        <v>43851</v>
      </c>
      <c r="E1000" s="1" t="s">
        <v>128</v>
      </c>
      <c r="F1000" s="1">
        <v>65660</v>
      </c>
      <c r="G1000" s="1" t="s">
        <v>28</v>
      </c>
      <c r="H1000" s="1" t="s">
        <v>162</v>
      </c>
      <c r="I1000" s="1" t="s">
        <v>0</v>
      </c>
      <c r="J1000" s="1">
        <v>1</v>
      </c>
      <c r="K1000" s="1">
        <f>J1000*(IF(I1000=ProdFam[[#Headers],[Test]],(VLOOKUP(Data[[#This Row],[Product Family]],ProdFam[],3,FALSE)),(VLOOKUP(Data[[#This Row],[Product Family]],ProdFam[],2,FALSE))))</f>
        <v>10</v>
      </c>
      <c r="L1000" s="1">
        <v>7</v>
      </c>
      <c r="M1000" s="1">
        <v>1</v>
      </c>
      <c r="N1000" s="7">
        <f>IFERROR(Data[[#This Row],[Actual Time]]/Data[[#This Row],[QTY Complete]],"")</f>
        <v>7</v>
      </c>
      <c r="O1000" s="7">
        <f>IF(I1000=ProdFam[[#Headers],[Test]],(VLOOKUP(Data[[#This Row],[Product Family]],ProdFam[],3,FALSE)),(VLOOKUP(Data[[#This Row],[Product Family]],ProdFam[],2,FALSE)))</f>
        <v>10</v>
      </c>
    </row>
    <row r="1001" spans="2:15" x14ac:dyDescent="0.25">
      <c r="B1001" s="1">
        <f>WEEKNUM(Data[[#This Row],[Date]],1)</f>
        <v>4</v>
      </c>
      <c r="C1001" s="15">
        <f>YEAR(Data[[#This Row],[Date]])</f>
        <v>2020</v>
      </c>
      <c r="D1001" s="5">
        <v>43851</v>
      </c>
      <c r="E1001" s="1" t="s">
        <v>128</v>
      </c>
      <c r="F1001" s="1">
        <v>65576</v>
      </c>
      <c r="G1001" s="1" t="s">
        <v>11</v>
      </c>
      <c r="H1001" s="1" t="s">
        <v>162</v>
      </c>
      <c r="I1001" s="1" t="s">
        <v>0</v>
      </c>
      <c r="J1001" s="1">
        <v>5</v>
      </c>
      <c r="K1001" s="1">
        <f>J1001*(IF(I1001=ProdFam[[#Headers],[Test]],(VLOOKUP(Data[[#This Row],[Product Family]],ProdFam[],3,FALSE)),(VLOOKUP(Data[[#This Row],[Product Family]],ProdFam[],2,FALSE))))</f>
        <v>50</v>
      </c>
      <c r="L1001" s="1">
        <v>46</v>
      </c>
      <c r="M1001" s="1">
        <v>5</v>
      </c>
      <c r="N1001" s="7">
        <f>IFERROR(Data[[#This Row],[Actual Time]]/Data[[#This Row],[QTY Complete]],"")</f>
        <v>9.1999999999999993</v>
      </c>
      <c r="O1001" s="7">
        <f>IF(I1001=ProdFam[[#Headers],[Test]],(VLOOKUP(Data[[#This Row],[Product Family]],ProdFam[],3,FALSE)),(VLOOKUP(Data[[#This Row],[Product Family]],ProdFam[],2,FALSE)))</f>
        <v>10</v>
      </c>
    </row>
    <row r="1002" spans="2:15" x14ac:dyDescent="0.25">
      <c r="B1002" s="1">
        <f>WEEKNUM(Data[[#This Row],[Date]],1)</f>
        <v>4</v>
      </c>
      <c r="C1002" s="15">
        <f>YEAR(Data[[#This Row],[Date]])</f>
        <v>2020</v>
      </c>
      <c r="D1002" s="5">
        <v>43851</v>
      </c>
      <c r="E1002" s="1" t="s">
        <v>128</v>
      </c>
      <c r="F1002" s="1">
        <v>65657</v>
      </c>
      <c r="G1002" s="1" t="s">
        <v>25</v>
      </c>
      <c r="H1002" s="1" t="s">
        <v>162</v>
      </c>
      <c r="I1002" s="1" t="s">
        <v>0</v>
      </c>
      <c r="J1002" s="1">
        <v>1</v>
      </c>
      <c r="K1002" s="1">
        <f>J1002*(IF(I1002=ProdFam[[#Headers],[Test]],(VLOOKUP(Data[[#This Row],[Product Family]],ProdFam[],3,FALSE)),(VLOOKUP(Data[[#This Row],[Product Family]],ProdFam[],2,FALSE))))</f>
        <v>10</v>
      </c>
      <c r="L1002" s="1">
        <v>8</v>
      </c>
      <c r="M1002" s="1">
        <v>1</v>
      </c>
      <c r="N1002" s="7">
        <f>IFERROR(Data[[#This Row],[Actual Time]]/Data[[#This Row],[QTY Complete]],"")</f>
        <v>8</v>
      </c>
      <c r="O1002" s="7">
        <f>IF(I1002=ProdFam[[#Headers],[Test]],(VLOOKUP(Data[[#This Row],[Product Family]],ProdFam[],3,FALSE)),(VLOOKUP(Data[[#This Row],[Product Family]],ProdFam[],2,FALSE)))</f>
        <v>10</v>
      </c>
    </row>
    <row r="1003" spans="2:15" x14ac:dyDescent="0.25">
      <c r="B1003" s="1">
        <f>WEEKNUM(Data[[#This Row],[Date]],1)</f>
        <v>4</v>
      </c>
      <c r="C1003" s="15">
        <f>YEAR(Data[[#This Row],[Date]])</f>
        <v>2020</v>
      </c>
      <c r="D1003" s="5">
        <v>43851</v>
      </c>
      <c r="E1003" s="1" t="s">
        <v>128</v>
      </c>
      <c r="F1003" s="1">
        <v>65833</v>
      </c>
      <c r="G1003" s="1" t="s">
        <v>28</v>
      </c>
      <c r="H1003" s="1" t="s">
        <v>162</v>
      </c>
      <c r="I1003" s="1" t="s">
        <v>0</v>
      </c>
      <c r="J1003" s="1">
        <v>1</v>
      </c>
      <c r="K1003" s="1">
        <f>J1003*(IF(I1003=ProdFam[[#Headers],[Test]],(VLOOKUP(Data[[#This Row],[Product Family]],ProdFam[],3,FALSE)),(VLOOKUP(Data[[#This Row],[Product Family]],ProdFam[],2,FALSE))))</f>
        <v>10</v>
      </c>
      <c r="L1003" s="1">
        <v>8</v>
      </c>
      <c r="M1003" s="1">
        <v>1</v>
      </c>
      <c r="N1003" s="7">
        <v>1</v>
      </c>
      <c r="O1003" s="7">
        <f>IF(I1003=ProdFam[[#Headers],[Test]],(VLOOKUP(Data[[#This Row],[Product Family]],ProdFam[],3,FALSE)),(VLOOKUP(Data[[#This Row],[Product Family]],ProdFam[],2,FALSE)))</f>
        <v>10</v>
      </c>
    </row>
    <row r="1004" spans="2:15" x14ac:dyDescent="0.25">
      <c r="B1004" s="1">
        <f>WEEKNUM(Data[[#This Row],[Date]],1)</f>
        <v>4</v>
      </c>
      <c r="C1004" s="15">
        <f>YEAR(Data[[#This Row],[Date]])</f>
        <v>2020</v>
      </c>
      <c r="D1004" s="5">
        <v>43851</v>
      </c>
      <c r="E1004" s="1" t="s">
        <v>128</v>
      </c>
      <c r="F1004" s="1">
        <v>65947</v>
      </c>
      <c r="G1004" s="1" t="s">
        <v>25</v>
      </c>
      <c r="H1004" s="1" t="s">
        <v>162</v>
      </c>
      <c r="I1004" s="1" t="s">
        <v>0</v>
      </c>
      <c r="J1004" s="1">
        <v>2</v>
      </c>
      <c r="K1004" s="1">
        <f>J1004*(IF(I1004=ProdFam[[#Headers],[Test]],(VLOOKUP(Data[[#This Row],[Product Family]],ProdFam[],3,FALSE)),(VLOOKUP(Data[[#This Row],[Product Family]],ProdFam[],2,FALSE))))</f>
        <v>20</v>
      </c>
      <c r="L1004" s="1">
        <v>24</v>
      </c>
      <c r="M1004" s="1">
        <v>2</v>
      </c>
      <c r="N1004" s="7">
        <f>IFERROR(Data[[#This Row],[Actual Time]]/Data[[#This Row],[QTY Complete]],"")</f>
        <v>12</v>
      </c>
      <c r="O1004" s="7">
        <f>IF(I1004=ProdFam[[#Headers],[Test]],(VLOOKUP(Data[[#This Row],[Product Family]],ProdFam[],3,FALSE)),(VLOOKUP(Data[[#This Row],[Product Family]],ProdFam[],2,FALSE)))</f>
        <v>10</v>
      </c>
    </row>
    <row r="1005" spans="2:15" x14ac:dyDescent="0.25">
      <c r="B1005" s="1">
        <f>WEEKNUM(Data[[#This Row],[Date]],1)</f>
        <v>4</v>
      </c>
      <c r="C1005" s="15">
        <f>YEAR(Data[[#This Row],[Date]])</f>
        <v>2020</v>
      </c>
      <c r="D1005" s="5">
        <v>43851</v>
      </c>
      <c r="E1005" s="1" t="s">
        <v>128</v>
      </c>
      <c r="F1005" s="1">
        <v>65899</v>
      </c>
      <c r="G1005" s="1" t="s">
        <v>28</v>
      </c>
      <c r="H1005" s="1" t="s">
        <v>162</v>
      </c>
      <c r="I1005" s="1" t="s">
        <v>0</v>
      </c>
      <c r="J1005" s="1">
        <v>1</v>
      </c>
      <c r="K1005" s="1">
        <f>J1005*(IF(I1005=ProdFam[[#Headers],[Test]],(VLOOKUP(Data[[#This Row],[Product Family]],ProdFam[],3,FALSE)),(VLOOKUP(Data[[#This Row],[Product Family]],ProdFam[],2,FALSE))))</f>
        <v>10</v>
      </c>
      <c r="L1005" s="1">
        <v>11</v>
      </c>
      <c r="M1005" s="1">
        <v>1</v>
      </c>
      <c r="N1005" s="7">
        <f>IFERROR(Data[[#This Row],[Actual Time]]/Data[[#This Row],[QTY Complete]],"")</f>
        <v>11</v>
      </c>
      <c r="O1005" s="7">
        <f>IF(I1005=ProdFam[[#Headers],[Test]],(VLOOKUP(Data[[#This Row],[Product Family]],ProdFam[],3,FALSE)),(VLOOKUP(Data[[#This Row],[Product Family]],ProdFam[],2,FALSE)))</f>
        <v>10</v>
      </c>
    </row>
    <row r="1006" spans="2:15" x14ac:dyDescent="0.25">
      <c r="B1006" s="1">
        <f>WEEKNUM(Data[[#This Row],[Date]],1)</f>
        <v>4</v>
      </c>
      <c r="C1006" s="15">
        <f>YEAR(Data[[#This Row],[Date]])</f>
        <v>2020</v>
      </c>
      <c r="D1006" s="5">
        <v>43851</v>
      </c>
      <c r="E1006" s="1" t="s">
        <v>128</v>
      </c>
      <c r="F1006" s="1">
        <v>65874</v>
      </c>
      <c r="G1006" s="1" t="s">
        <v>28</v>
      </c>
      <c r="H1006" s="1" t="s">
        <v>162</v>
      </c>
      <c r="I1006" s="1" t="s">
        <v>0</v>
      </c>
      <c r="J1006" s="1">
        <v>1</v>
      </c>
      <c r="K1006" s="1">
        <f>J1006*(IF(I1006=ProdFam[[#Headers],[Test]],(VLOOKUP(Data[[#This Row],[Product Family]],ProdFam[],3,FALSE)),(VLOOKUP(Data[[#This Row],[Product Family]],ProdFam[],2,FALSE))))</f>
        <v>10</v>
      </c>
      <c r="L1006" s="1">
        <v>6</v>
      </c>
      <c r="M1006" s="1">
        <v>1</v>
      </c>
      <c r="N1006" s="7">
        <f>IFERROR(Data[[#This Row],[Actual Time]]/Data[[#This Row],[QTY Complete]],"")</f>
        <v>6</v>
      </c>
      <c r="O1006" s="7">
        <f>IF(I1006=ProdFam[[#Headers],[Test]],(VLOOKUP(Data[[#This Row],[Product Family]],ProdFam[],3,FALSE)),(VLOOKUP(Data[[#This Row],[Product Family]],ProdFam[],2,FALSE)))</f>
        <v>10</v>
      </c>
    </row>
    <row r="1007" spans="2:15" x14ac:dyDescent="0.25">
      <c r="B1007" s="1">
        <f>WEEKNUM(Data[[#This Row],[Date]],1)</f>
        <v>4</v>
      </c>
      <c r="C1007" s="15">
        <f>YEAR(Data[[#This Row],[Date]])</f>
        <v>2020</v>
      </c>
      <c r="D1007" s="5">
        <v>43851</v>
      </c>
      <c r="E1007" s="1" t="s">
        <v>128</v>
      </c>
      <c r="F1007" s="1">
        <v>30393</v>
      </c>
      <c r="G1007" s="1" t="s">
        <v>195</v>
      </c>
      <c r="H1007" s="1" t="s">
        <v>162</v>
      </c>
      <c r="I1007" s="1" t="s">
        <v>0</v>
      </c>
      <c r="J1007" s="1">
        <v>2</v>
      </c>
      <c r="K1007" s="1">
        <f>J1007*(IF(I1007=ProdFam[[#Headers],[Test]],(VLOOKUP(Data[[#This Row],[Product Family]],ProdFam[],3,FALSE)),(VLOOKUP(Data[[#This Row],[Product Family]],ProdFam[],2,FALSE))))</f>
        <v>20</v>
      </c>
      <c r="L1007" s="1">
        <v>22</v>
      </c>
      <c r="M1007" s="1">
        <v>2</v>
      </c>
      <c r="N1007" s="7">
        <f>IFERROR(Data[[#This Row],[Actual Time]]/Data[[#This Row],[QTY Complete]],"")</f>
        <v>11</v>
      </c>
      <c r="O1007" s="7">
        <f>IF(I1007=ProdFam[[#Headers],[Test]],(VLOOKUP(Data[[#This Row],[Product Family]],ProdFam[],3,FALSE)),(VLOOKUP(Data[[#This Row],[Product Family]],ProdFam[],2,FALSE)))</f>
        <v>10</v>
      </c>
    </row>
    <row r="1008" spans="2:15" x14ac:dyDescent="0.25">
      <c r="B1008" s="1">
        <f>WEEKNUM(Data[[#This Row],[Date]],1)</f>
        <v>4</v>
      </c>
      <c r="C1008" s="15">
        <f>YEAR(Data[[#This Row],[Date]])</f>
        <v>2020</v>
      </c>
      <c r="D1008" s="5">
        <v>43851</v>
      </c>
      <c r="E1008" s="1" t="s">
        <v>117</v>
      </c>
      <c r="F1008" s="1">
        <v>30317</v>
      </c>
      <c r="G1008" s="1" t="s">
        <v>78</v>
      </c>
      <c r="H1008" s="1" t="s">
        <v>113</v>
      </c>
      <c r="I1008" s="1" t="s">
        <v>1</v>
      </c>
      <c r="J1008" s="1">
        <v>5</v>
      </c>
      <c r="K1008" s="1">
        <f>J1008*(IF(I1008=ProdFam[[#Headers],[Test]],(VLOOKUP(Data[[#This Row],[Product Family]],ProdFam[],3,FALSE)),(VLOOKUP(Data[[#This Row],[Product Family]],ProdFam[],2,FALSE))))</f>
        <v>160</v>
      </c>
      <c r="L1008" s="1">
        <v>121</v>
      </c>
      <c r="M1008" s="1">
        <v>5</v>
      </c>
      <c r="N1008" s="7">
        <f>IFERROR(Data[[#This Row],[Actual Time]]/Data[[#This Row],[QTY Complete]],"")</f>
        <v>24.2</v>
      </c>
      <c r="O1008" s="7">
        <f>IF(I1008=ProdFam[[#Headers],[Test]],(VLOOKUP(Data[[#This Row],[Product Family]],ProdFam[],3,FALSE)),(VLOOKUP(Data[[#This Row],[Product Family]],ProdFam[],2,FALSE)))</f>
        <v>32</v>
      </c>
    </row>
    <row r="1009" spans="2:15" x14ac:dyDescent="0.25">
      <c r="B1009" s="1">
        <f>WEEKNUM(Data[[#This Row],[Date]],1)</f>
        <v>4</v>
      </c>
      <c r="C1009" s="15">
        <f>YEAR(Data[[#This Row],[Date]])</f>
        <v>2020</v>
      </c>
      <c r="D1009" s="5">
        <v>43852</v>
      </c>
      <c r="E1009" s="1" t="s">
        <v>131</v>
      </c>
      <c r="F1009" s="1">
        <v>30333</v>
      </c>
      <c r="G1009" s="1" t="s">
        <v>15</v>
      </c>
      <c r="H1009" s="1" t="s">
        <v>113</v>
      </c>
      <c r="I1009" s="1" t="s">
        <v>0</v>
      </c>
      <c r="J1009" s="1">
        <v>8</v>
      </c>
      <c r="K1009" s="1">
        <f>J1009*(IF(I1009=ProdFam[[#Headers],[Test]],(VLOOKUP(Data[[#This Row],[Product Family]],ProdFam[],3,FALSE)),(VLOOKUP(Data[[#This Row],[Product Family]],ProdFam[],2,FALSE))))</f>
        <v>376</v>
      </c>
      <c r="L1009" s="1">
        <v>123</v>
      </c>
      <c r="M1009" s="1">
        <v>2</v>
      </c>
      <c r="N1009" s="7">
        <f>IFERROR(Data[[#This Row],[Actual Time]]/Data[[#This Row],[QTY Complete]],"")</f>
        <v>61.5</v>
      </c>
      <c r="O1009" s="7">
        <f>IF(I1009=ProdFam[[#Headers],[Test]],(VLOOKUP(Data[[#This Row],[Product Family]],ProdFam[],3,FALSE)),(VLOOKUP(Data[[#This Row],[Product Family]],ProdFam[],2,FALSE)))</f>
        <v>47</v>
      </c>
    </row>
    <row r="1010" spans="2:15" x14ac:dyDescent="0.25">
      <c r="B1010" s="1">
        <f>WEEKNUM(Data[[#This Row],[Date]],1)</f>
        <v>4</v>
      </c>
      <c r="C1010" s="15">
        <f>YEAR(Data[[#This Row],[Date]])</f>
        <v>2020</v>
      </c>
      <c r="D1010" s="5">
        <v>43852</v>
      </c>
      <c r="E1010" s="1" t="s">
        <v>119</v>
      </c>
      <c r="F1010" s="1">
        <v>30333</v>
      </c>
      <c r="G1010" s="1" t="s">
        <v>15</v>
      </c>
      <c r="H1010" s="1" t="s">
        <v>113</v>
      </c>
      <c r="I1010" s="1" t="s">
        <v>1</v>
      </c>
      <c r="J1010" s="1">
        <v>8</v>
      </c>
      <c r="K1010" s="1">
        <f>J1010*(IF(I1010=ProdFam[[#Headers],[Test]],(VLOOKUP(Data[[#This Row],[Product Family]],ProdFam[],3,FALSE)),(VLOOKUP(Data[[#This Row],[Product Family]],ProdFam[],2,FALSE))))</f>
        <v>256</v>
      </c>
      <c r="L1010" s="1">
        <v>206</v>
      </c>
      <c r="M1010" s="1">
        <v>8</v>
      </c>
      <c r="N1010" s="7">
        <f>IFERROR(Data[[#This Row],[Actual Time]]/Data[[#This Row],[QTY Complete]],"")</f>
        <v>25.75</v>
      </c>
      <c r="O1010" s="7">
        <f>IF(I1010=ProdFam[[#Headers],[Test]],(VLOOKUP(Data[[#This Row],[Product Family]],ProdFam[],3,FALSE)),(VLOOKUP(Data[[#This Row],[Product Family]],ProdFam[],2,FALSE)))</f>
        <v>32</v>
      </c>
    </row>
    <row r="1011" spans="2:15" x14ac:dyDescent="0.25">
      <c r="B1011" s="1">
        <f>WEEKNUM(Data[[#This Row],[Date]],1)</f>
        <v>4</v>
      </c>
      <c r="C1011" s="15">
        <f>YEAR(Data[[#This Row],[Date]])</f>
        <v>2020</v>
      </c>
      <c r="D1011" s="5">
        <v>43852</v>
      </c>
      <c r="E1011" s="1" t="s">
        <v>119</v>
      </c>
      <c r="F1011" s="1">
        <v>30497</v>
      </c>
      <c r="G1011" s="1" t="s">
        <v>68</v>
      </c>
      <c r="H1011" s="1" t="s">
        <v>112</v>
      </c>
      <c r="I1011" s="1" t="s">
        <v>0</v>
      </c>
      <c r="J1011" s="1">
        <v>3</v>
      </c>
      <c r="K1011" s="1">
        <f>J1011*(IF(I1011=ProdFam[[#Headers],[Test]],(VLOOKUP(Data[[#This Row],[Product Family]],ProdFam[],3,FALSE)),(VLOOKUP(Data[[#This Row],[Product Family]],ProdFam[],2,FALSE))))</f>
        <v>30</v>
      </c>
      <c r="L1011" s="1">
        <v>62</v>
      </c>
      <c r="M1011" s="1">
        <v>3</v>
      </c>
      <c r="N1011" s="7">
        <f>IFERROR(Data[[#This Row],[Actual Time]]/Data[[#This Row],[QTY Complete]],"")</f>
        <v>20.666666666666668</v>
      </c>
      <c r="O1011" s="7">
        <f>IF(I1011=ProdFam[[#Headers],[Test]],(VLOOKUP(Data[[#This Row],[Product Family]],ProdFam[],3,FALSE)),(VLOOKUP(Data[[#This Row],[Product Family]],ProdFam[],2,FALSE)))</f>
        <v>10</v>
      </c>
    </row>
    <row r="1012" spans="2:15" x14ac:dyDescent="0.25">
      <c r="B1012" s="1">
        <f>WEEKNUM(Data[[#This Row],[Date]],1)</f>
        <v>4</v>
      </c>
      <c r="C1012" s="15">
        <f>YEAR(Data[[#This Row],[Date]])</f>
        <v>2020</v>
      </c>
      <c r="D1012" s="5">
        <v>43852</v>
      </c>
      <c r="E1012" s="1" t="s">
        <v>119</v>
      </c>
      <c r="F1012" s="1">
        <v>30396</v>
      </c>
      <c r="G1012" s="1" t="s">
        <v>8</v>
      </c>
      <c r="H1012" s="1" t="s">
        <v>112</v>
      </c>
      <c r="I1012" s="1" t="s">
        <v>0</v>
      </c>
      <c r="J1012" s="1">
        <v>21</v>
      </c>
      <c r="K1012" s="1">
        <f>J1012*(IF(I1012=ProdFam[[#Headers],[Test]],(VLOOKUP(Data[[#This Row],[Product Family]],ProdFam[],3,FALSE)),(VLOOKUP(Data[[#This Row],[Product Family]],ProdFam[],2,FALSE))))</f>
        <v>210</v>
      </c>
      <c r="L1012" s="1">
        <v>344</v>
      </c>
      <c r="M1012" s="1">
        <v>21</v>
      </c>
      <c r="N1012" s="7">
        <f>IFERROR(Data[[#This Row],[Actual Time]]/Data[[#This Row],[QTY Complete]],"")</f>
        <v>16.38095238095238</v>
      </c>
      <c r="O1012" s="7">
        <f>IF(I1012=ProdFam[[#Headers],[Test]],(VLOOKUP(Data[[#This Row],[Product Family]],ProdFam[],3,FALSE)),(VLOOKUP(Data[[#This Row],[Product Family]],ProdFam[],2,FALSE)))</f>
        <v>10</v>
      </c>
    </row>
    <row r="1013" spans="2:15" x14ac:dyDescent="0.25">
      <c r="B1013" s="1">
        <f>WEEKNUM(Data[[#This Row],[Date]],1)</f>
        <v>4</v>
      </c>
      <c r="C1013" s="15">
        <f>YEAR(Data[[#This Row],[Date]])</f>
        <v>2020</v>
      </c>
      <c r="D1013" s="5">
        <v>43852</v>
      </c>
      <c r="E1013" s="1" t="s">
        <v>119</v>
      </c>
      <c r="F1013" s="1">
        <v>30367</v>
      </c>
      <c r="G1013" s="1" t="s">
        <v>19</v>
      </c>
      <c r="H1013" s="1" t="s">
        <v>113</v>
      </c>
      <c r="I1013" s="1" t="s">
        <v>0</v>
      </c>
      <c r="J1013" s="1">
        <v>2</v>
      </c>
      <c r="K1013" s="1">
        <f>J1013*(IF(I1013=ProdFam[[#Headers],[Test]],(VLOOKUP(Data[[#This Row],[Product Family]],ProdFam[],3,FALSE)),(VLOOKUP(Data[[#This Row],[Product Family]],ProdFam[],2,FALSE))))</f>
        <v>94</v>
      </c>
      <c r="L1013" s="1">
        <v>53</v>
      </c>
      <c r="M1013" s="1">
        <v>2</v>
      </c>
      <c r="N1013" s="7">
        <f>IFERROR(Data[[#This Row],[Actual Time]]/Data[[#This Row],[QTY Complete]],"")</f>
        <v>26.5</v>
      </c>
      <c r="O1013" s="7">
        <f>IF(I1013=ProdFam[[#Headers],[Test]],(VLOOKUP(Data[[#This Row],[Product Family]],ProdFam[],3,FALSE)),(VLOOKUP(Data[[#This Row],[Product Family]],ProdFam[],2,FALSE)))</f>
        <v>47</v>
      </c>
    </row>
    <row r="1014" spans="2:15" x14ac:dyDescent="0.25">
      <c r="B1014" s="1">
        <f>WEEKNUM(Data[[#This Row],[Date]],1)</f>
        <v>4</v>
      </c>
      <c r="C1014" s="15">
        <f>YEAR(Data[[#This Row],[Date]])</f>
        <v>2020</v>
      </c>
      <c r="D1014" s="5">
        <v>43852</v>
      </c>
      <c r="E1014" s="1" t="s">
        <v>117</v>
      </c>
      <c r="F1014" s="1">
        <v>30331</v>
      </c>
      <c r="G1014" s="1" t="s">
        <v>59</v>
      </c>
      <c r="H1014" s="1" t="s">
        <v>113</v>
      </c>
      <c r="I1014" s="1" t="s">
        <v>1</v>
      </c>
      <c r="J1014" s="1">
        <v>11</v>
      </c>
      <c r="K1014" s="1">
        <f>J1014*(IF(I1014=ProdFam[[#Headers],[Test]],(VLOOKUP(Data[[#This Row],[Product Family]],ProdFam[],3,FALSE)),(VLOOKUP(Data[[#This Row],[Product Family]],ProdFam[],2,FALSE))))</f>
        <v>352</v>
      </c>
      <c r="L1014" s="1">
        <v>240</v>
      </c>
      <c r="M1014" s="1">
        <v>11</v>
      </c>
      <c r="N1014" s="7">
        <f>IFERROR(Data[[#This Row],[Actual Time]]/Data[[#This Row],[QTY Complete]],"")</f>
        <v>21.818181818181817</v>
      </c>
      <c r="O1014" s="7">
        <f>IF(I1014=ProdFam[[#Headers],[Test]],(VLOOKUP(Data[[#This Row],[Product Family]],ProdFam[],3,FALSE)),(VLOOKUP(Data[[#This Row],[Product Family]],ProdFam[],2,FALSE)))</f>
        <v>32</v>
      </c>
    </row>
    <row r="1015" spans="2:15" x14ac:dyDescent="0.25">
      <c r="B1015" s="1">
        <f>WEEKNUM(Data[[#This Row],[Date]],1)</f>
        <v>4</v>
      </c>
      <c r="C1015" s="15">
        <f>YEAR(Data[[#This Row],[Date]])</f>
        <v>2020</v>
      </c>
      <c r="D1015" s="5">
        <v>43854</v>
      </c>
      <c r="E1015" s="1" t="s">
        <v>118</v>
      </c>
      <c r="F1015" s="1">
        <v>30175</v>
      </c>
      <c r="G1015" s="1" t="s">
        <v>29</v>
      </c>
      <c r="H1015" s="1" t="s">
        <v>113</v>
      </c>
      <c r="I1015" s="1" t="s">
        <v>0</v>
      </c>
      <c r="J1015" s="1">
        <v>10</v>
      </c>
      <c r="K1015" s="1">
        <f>J1015*(IF(I1015=ProdFam[[#Headers],[Test]],(VLOOKUP(Data[[#This Row],[Product Family]],ProdFam[],3,FALSE)),(VLOOKUP(Data[[#This Row],[Product Family]],ProdFam[],2,FALSE))))</f>
        <v>470</v>
      </c>
      <c r="L1015" s="1">
        <v>291</v>
      </c>
      <c r="M1015" s="1">
        <v>10</v>
      </c>
      <c r="N1015" s="7">
        <f>IFERROR(Data[[#This Row],[Actual Time]]/Data[[#This Row],[QTY Complete]],"")</f>
        <v>29.1</v>
      </c>
      <c r="O1015" s="7">
        <f>IF(I1015=ProdFam[[#Headers],[Test]],(VLOOKUP(Data[[#This Row],[Product Family]],ProdFam[],3,FALSE)),(VLOOKUP(Data[[#This Row],[Product Family]],ProdFam[],2,FALSE)))</f>
        <v>47</v>
      </c>
    </row>
    <row r="1016" spans="2:15" x14ac:dyDescent="0.25">
      <c r="B1016" s="1">
        <f>WEEKNUM(Data[[#This Row],[Date]],1)</f>
        <v>4</v>
      </c>
      <c r="C1016" s="15">
        <f>YEAR(Data[[#This Row],[Date]])</f>
        <v>2020</v>
      </c>
      <c r="D1016" s="5">
        <v>43852</v>
      </c>
      <c r="E1016" s="1" t="s">
        <v>118</v>
      </c>
      <c r="F1016" s="1">
        <v>30286</v>
      </c>
      <c r="G1016" s="1" t="s">
        <v>25</v>
      </c>
      <c r="H1016" s="1" t="s">
        <v>113</v>
      </c>
      <c r="I1016" s="1" t="s">
        <v>0</v>
      </c>
      <c r="J1016" s="1">
        <v>10</v>
      </c>
      <c r="K1016" s="1">
        <f>J1016*(IF(I1016=ProdFam[[#Headers],[Test]],(VLOOKUP(Data[[#This Row],[Product Family]],ProdFam[],3,FALSE)),(VLOOKUP(Data[[#This Row],[Product Family]],ProdFam[],2,FALSE))))</f>
        <v>470</v>
      </c>
      <c r="L1016" s="1">
        <v>57</v>
      </c>
      <c r="M1016" s="1">
        <v>10</v>
      </c>
      <c r="N1016" s="7">
        <f>IFERROR(Data[[#This Row],[Actual Time]]/Data[[#This Row],[QTY Complete]],"")</f>
        <v>5.7</v>
      </c>
      <c r="O1016" s="7">
        <f>IF(I1016=ProdFam[[#Headers],[Test]],(VLOOKUP(Data[[#This Row],[Product Family]],ProdFam[],3,FALSE)),(VLOOKUP(Data[[#This Row],[Product Family]],ProdFam[],2,FALSE)))</f>
        <v>47</v>
      </c>
    </row>
    <row r="1017" spans="2:15" x14ac:dyDescent="0.25">
      <c r="B1017" s="1">
        <f>WEEKNUM(Data[[#This Row],[Date]],1)</f>
        <v>4</v>
      </c>
      <c r="C1017" s="15">
        <f>YEAR(Data[[#This Row],[Date]])</f>
        <v>2020</v>
      </c>
      <c r="D1017" s="5">
        <v>43852</v>
      </c>
      <c r="E1017" s="1" t="s">
        <v>118</v>
      </c>
      <c r="F1017" s="1">
        <v>30367</v>
      </c>
      <c r="G1017" s="1" t="s">
        <v>19</v>
      </c>
      <c r="H1017" s="1" t="s">
        <v>113</v>
      </c>
      <c r="I1017" s="1" t="s">
        <v>0</v>
      </c>
      <c r="J1017" s="1">
        <v>2</v>
      </c>
      <c r="K1017" s="1">
        <f>J1017*(IF(I1017=ProdFam[[#Headers],[Test]],(VLOOKUP(Data[[#This Row],[Product Family]],ProdFam[],3,FALSE)),(VLOOKUP(Data[[#This Row],[Product Family]],ProdFam[],2,FALSE))))</f>
        <v>94</v>
      </c>
      <c r="L1017" s="1">
        <v>193</v>
      </c>
      <c r="M1017" s="1">
        <v>2</v>
      </c>
      <c r="N1017" s="7">
        <f>IFERROR(Data[[#This Row],[Actual Time]]/Data[[#This Row],[QTY Complete]],"")</f>
        <v>96.5</v>
      </c>
      <c r="O1017" s="7">
        <f>IF(I1017=ProdFam[[#Headers],[Test]],(VLOOKUP(Data[[#This Row],[Product Family]],ProdFam[],3,FALSE)),(VLOOKUP(Data[[#This Row],[Product Family]],ProdFam[],2,FALSE)))</f>
        <v>47</v>
      </c>
    </row>
    <row r="1018" spans="2:15" x14ac:dyDescent="0.25">
      <c r="B1018" s="1">
        <f>WEEKNUM(Data[[#This Row],[Date]],1)</f>
        <v>4</v>
      </c>
      <c r="C1018" s="15">
        <f>YEAR(Data[[#This Row],[Date]])</f>
        <v>2020</v>
      </c>
      <c r="D1018" s="5">
        <v>43852</v>
      </c>
      <c r="E1018" s="1" t="s">
        <v>118</v>
      </c>
      <c r="F1018" s="1">
        <v>30501</v>
      </c>
      <c r="G1018" s="1" t="s">
        <v>179</v>
      </c>
      <c r="H1018" s="1" t="s">
        <v>112</v>
      </c>
      <c r="I1018" s="1" t="s">
        <v>0</v>
      </c>
      <c r="J1018" s="1">
        <v>3</v>
      </c>
      <c r="K1018" s="1">
        <f>J1018*(IF(I1018=ProdFam[[#Headers],[Test]],(VLOOKUP(Data[[#This Row],[Product Family]],ProdFam[],3,FALSE)),(VLOOKUP(Data[[#This Row],[Product Family]],ProdFam[],2,FALSE))))</f>
        <v>30</v>
      </c>
      <c r="L1018" s="1">
        <v>25</v>
      </c>
      <c r="M1018" s="1">
        <v>3</v>
      </c>
      <c r="N1018" s="7">
        <f>IFERROR(Data[[#This Row],[Actual Time]]/Data[[#This Row],[QTY Complete]],"")</f>
        <v>8.3333333333333339</v>
      </c>
      <c r="O1018" s="7">
        <f>IF(I1018=ProdFam[[#Headers],[Test]],(VLOOKUP(Data[[#This Row],[Product Family]],ProdFam[],3,FALSE)),(VLOOKUP(Data[[#This Row],[Product Family]],ProdFam[],2,FALSE)))</f>
        <v>10</v>
      </c>
    </row>
    <row r="1019" spans="2:15" x14ac:dyDescent="0.25">
      <c r="B1019" s="1">
        <f>WEEKNUM(Data[[#This Row],[Date]],1)</f>
        <v>4</v>
      </c>
      <c r="C1019" s="15">
        <f>YEAR(Data[[#This Row],[Date]])</f>
        <v>2020</v>
      </c>
      <c r="D1019" s="5">
        <v>43852</v>
      </c>
      <c r="E1019" s="1" t="s">
        <v>118</v>
      </c>
      <c r="F1019" s="1">
        <v>30495</v>
      </c>
      <c r="G1019" s="1" t="s">
        <v>178</v>
      </c>
      <c r="H1019" s="1" t="s">
        <v>112</v>
      </c>
      <c r="I1019" s="1" t="s">
        <v>0</v>
      </c>
      <c r="J1019" s="1">
        <v>8</v>
      </c>
      <c r="K1019" s="1">
        <f>J1019*(IF(I1019=ProdFam[[#Headers],[Test]],(VLOOKUP(Data[[#This Row],[Product Family]],ProdFam[],3,FALSE)),(VLOOKUP(Data[[#This Row],[Product Family]],ProdFam[],2,FALSE))))</f>
        <v>80</v>
      </c>
      <c r="L1019" s="1">
        <v>95</v>
      </c>
      <c r="M1019" s="1">
        <v>8</v>
      </c>
      <c r="N1019" s="7">
        <f>IFERROR(Data[[#This Row],[Actual Time]]/Data[[#This Row],[QTY Complete]],"")</f>
        <v>11.875</v>
      </c>
      <c r="O1019" s="7">
        <f>IF(I1019=ProdFam[[#Headers],[Test]],(VLOOKUP(Data[[#This Row],[Product Family]],ProdFam[],3,FALSE)),(VLOOKUP(Data[[#This Row],[Product Family]],ProdFam[],2,FALSE)))</f>
        <v>10</v>
      </c>
    </row>
    <row r="1020" spans="2:15" x14ac:dyDescent="0.25">
      <c r="B1020" s="1">
        <f>WEEKNUM(Data[[#This Row],[Date]],1)</f>
        <v>4</v>
      </c>
      <c r="C1020" s="15">
        <f>YEAR(Data[[#This Row],[Date]])</f>
        <v>2020</v>
      </c>
      <c r="D1020" s="5">
        <v>43852</v>
      </c>
      <c r="E1020" s="1" t="s">
        <v>118</v>
      </c>
      <c r="F1020" s="1">
        <v>30371</v>
      </c>
      <c r="G1020" s="1" t="s">
        <v>147</v>
      </c>
      <c r="H1020" s="1" t="s">
        <v>112</v>
      </c>
      <c r="I1020" s="1" t="s">
        <v>0</v>
      </c>
      <c r="J1020" s="1">
        <v>3</v>
      </c>
      <c r="K1020" s="1">
        <f>J1020*(IF(I1020=ProdFam[[#Headers],[Test]],(VLOOKUP(Data[[#This Row],[Product Family]],ProdFam[],3,FALSE)),(VLOOKUP(Data[[#This Row],[Product Family]],ProdFam[],2,FALSE))))</f>
        <v>30</v>
      </c>
      <c r="L1020" s="1">
        <v>64</v>
      </c>
      <c r="M1020" s="1">
        <v>3</v>
      </c>
      <c r="N1020" s="7">
        <f>IFERROR(Data[[#This Row],[Actual Time]]/Data[[#This Row],[QTY Complete]],"")</f>
        <v>21.333333333333332</v>
      </c>
      <c r="O1020" s="7">
        <f>IF(I1020=ProdFam[[#Headers],[Test]],(VLOOKUP(Data[[#This Row],[Product Family]],ProdFam[],3,FALSE)),(VLOOKUP(Data[[#This Row],[Product Family]],ProdFam[],2,FALSE)))</f>
        <v>10</v>
      </c>
    </row>
    <row r="1021" spans="2:15" x14ac:dyDescent="0.25">
      <c r="B1021" s="1">
        <f>WEEKNUM(Data[[#This Row],[Date]],1)</f>
        <v>4</v>
      </c>
      <c r="C1021" s="15">
        <f>YEAR(Data[[#This Row],[Date]])</f>
        <v>2020</v>
      </c>
      <c r="D1021" s="5">
        <v>43853</v>
      </c>
      <c r="E1021" s="1" t="s">
        <v>118</v>
      </c>
      <c r="F1021" s="1">
        <v>30175</v>
      </c>
      <c r="G1021" s="1" t="s">
        <v>29</v>
      </c>
      <c r="H1021" s="1" t="s">
        <v>113</v>
      </c>
      <c r="I1021" s="1" t="s">
        <v>0</v>
      </c>
      <c r="J1021" s="1">
        <v>10</v>
      </c>
      <c r="K1021" s="1">
        <f>J1021*(IF(I1021=ProdFam[[#Headers],[Test]],(VLOOKUP(Data[[#This Row],[Product Family]],ProdFam[],3,FALSE)),(VLOOKUP(Data[[#This Row],[Product Family]],ProdFam[],2,FALSE))))</f>
        <v>470</v>
      </c>
      <c r="L1021" s="1">
        <v>378</v>
      </c>
      <c r="M1021" s="1">
        <v>2</v>
      </c>
      <c r="N1021" s="7">
        <f>IFERROR(Data[[#This Row],[Actual Time]]/Data[[#This Row],[QTY Complete]],"")</f>
        <v>189</v>
      </c>
      <c r="O1021" s="7">
        <f>IF(I1021=ProdFam[[#Headers],[Test]],(VLOOKUP(Data[[#This Row],[Product Family]],ProdFam[],3,FALSE)),(VLOOKUP(Data[[#This Row],[Product Family]],ProdFam[],2,FALSE)))</f>
        <v>47</v>
      </c>
    </row>
    <row r="1022" spans="2:15" x14ac:dyDescent="0.25">
      <c r="B1022" s="1">
        <f>WEEKNUM(Data[[#This Row],[Date]],1)</f>
        <v>4</v>
      </c>
      <c r="C1022" s="15">
        <f>YEAR(Data[[#This Row],[Date]])</f>
        <v>2020</v>
      </c>
      <c r="D1022" s="5">
        <v>43853</v>
      </c>
      <c r="E1022" s="1" t="s">
        <v>118</v>
      </c>
      <c r="F1022" s="1">
        <v>30303</v>
      </c>
      <c r="G1022" s="1" t="s">
        <v>66</v>
      </c>
      <c r="H1022" s="1" t="s">
        <v>113</v>
      </c>
      <c r="I1022" s="1" t="s">
        <v>0</v>
      </c>
      <c r="J1022" s="1">
        <v>2</v>
      </c>
      <c r="K1022" s="1">
        <f>J1022*(IF(I1022=ProdFam[[#Headers],[Test]],(VLOOKUP(Data[[#This Row],[Product Family]],ProdFam[],3,FALSE)),(VLOOKUP(Data[[#This Row],[Product Family]],ProdFam[],2,FALSE))))</f>
        <v>94</v>
      </c>
      <c r="L1022" s="1">
        <v>70</v>
      </c>
      <c r="M1022" s="1">
        <v>2</v>
      </c>
      <c r="N1022" s="7">
        <f>IFERROR(Data[[#This Row],[Actual Time]]/Data[[#This Row],[QTY Complete]],"")</f>
        <v>35</v>
      </c>
      <c r="O1022" s="7">
        <f>IF(I1022=ProdFam[[#Headers],[Test]],(VLOOKUP(Data[[#This Row],[Product Family]],ProdFam[],3,FALSE)),(VLOOKUP(Data[[#This Row],[Product Family]],ProdFam[],2,FALSE)))</f>
        <v>47</v>
      </c>
    </row>
    <row r="1023" spans="2:15" x14ac:dyDescent="0.25">
      <c r="B1023" s="1">
        <f>WEEKNUM(Data[[#This Row],[Date]],1)</f>
        <v>4</v>
      </c>
      <c r="C1023" s="15">
        <f>YEAR(Data[[#This Row],[Date]])</f>
        <v>2020</v>
      </c>
      <c r="D1023" s="5">
        <v>43853</v>
      </c>
      <c r="E1023" s="1" t="s">
        <v>111</v>
      </c>
      <c r="F1023" s="1">
        <v>30334</v>
      </c>
      <c r="G1023" s="1" t="s">
        <v>42</v>
      </c>
      <c r="H1023" s="1" t="s">
        <v>112</v>
      </c>
      <c r="I1023" s="1" t="s">
        <v>1</v>
      </c>
      <c r="J1023" s="1">
        <v>12</v>
      </c>
      <c r="K1023" s="1">
        <f>J1023*(IF(I1023=ProdFam[[#Headers],[Test]],(VLOOKUP(Data[[#This Row],[Product Family]],ProdFam[],3,FALSE)),(VLOOKUP(Data[[#This Row],[Product Family]],ProdFam[],2,FALSE))))</f>
        <v>120</v>
      </c>
      <c r="L1023" s="1">
        <v>87</v>
      </c>
      <c r="M1023" s="1">
        <v>12</v>
      </c>
      <c r="N1023" s="7">
        <f>IFERROR(Data[[#This Row],[Actual Time]]/Data[[#This Row],[QTY Complete]],"")</f>
        <v>7.25</v>
      </c>
      <c r="O1023" s="7">
        <f>IF(I1023=ProdFam[[#Headers],[Test]],(VLOOKUP(Data[[#This Row],[Product Family]],ProdFam[],3,FALSE)),(VLOOKUP(Data[[#This Row],[Product Family]],ProdFam[],2,FALSE)))</f>
        <v>10</v>
      </c>
    </row>
    <row r="1024" spans="2:15" x14ac:dyDescent="0.25">
      <c r="B1024" s="1">
        <f>WEEKNUM(Data[[#This Row],[Date]],1)</f>
        <v>4</v>
      </c>
      <c r="C1024" s="15">
        <f>YEAR(Data[[#This Row],[Date]])</f>
        <v>2020</v>
      </c>
      <c r="D1024" s="5">
        <v>43853</v>
      </c>
      <c r="E1024" s="1" t="s">
        <v>111</v>
      </c>
      <c r="F1024" s="1">
        <v>30396</v>
      </c>
      <c r="G1024" s="1" t="s">
        <v>8</v>
      </c>
      <c r="H1024" s="1" t="s">
        <v>112</v>
      </c>
      <c r="I1024" s="1" t="s">
        <v>1</v>
      </c>
      <c r="J1024" s="1">
        <v>21</v>
      </c>
      <c r="K1024" s="1">
        <f>J1024*(IF(I1024=ProdFam[[#Headers],[Test]],(VLOOKUP(Data[[#This Row],[Product Family]],ProdFam[],3,FALSE)),(VLOOKUP(Data[[#This Row],[Product Family]],ProdFam[],2,FALSE))))</f>
        <v>210</v>
      </c>
      <c r="L1024" s="1">
        <v>83</v>
      </c>
      <c r="M1024" s="1">
        <v>21</v>
      </c>
      <c r="N1024" s="7">
        <f>IFERROR(Data[[#This Row],[Actual Time]]/Data[[#This Row],[QTY Complete]],"")</f>
        <v>3.9523809523809526</v>
      </c>
      <c r="O1024" s="7">
        <f>IF(I1024=ProdFam[[#Headers],[Test]],(VLOOKUP(Data[[#This Row],[Product Family]],ProdFam[],3,FALSE)),(VLOOKUP(Data[[#This Row],[Product Family]],ProdFam[],2,FALSE)))</f>
        <v>10</v>
      </c>
    </row>
    <row r="1025" spans="2:15" x14ac:dyDescent="0.25">
      <c r="B1025" s="1">
        <f>WEEKNUM(Data[[#This Row],[Date]],1)</f>
        <v>4</v>
      </c>
      <c r="C1025" s="15">
        <f>YEAR(Data[[#This Row],[Date]])</f>
        <v>2020</v>
      </c>
      <c r="D1025" s="5">
        <v>43853</v>
      </c>
      <c r="E1025" s="1" t="s">
        <v>111</v>
      </c>
      <c r="F1025" s="1">
        <v>30371</v>
      </c>
      <c r="G1025" s="1" t="s">
        <v>147</v>
      </c>
      <c r="H1025" s="1" t="s">
        <v>115</v>
      </c>
      <c r="I1025" s="1" t="s">
        <v>1</v>
      </c>
      <c r="J1025" s="1">
        <v>3</v>
      </c>
      <c r="K1025" s="1">
        <f>J1025*(IF(I1025=ProdFam[[#Headers],[Test]],(VLOOKUP(Data[[#This Row],[Product Family]],ProdFam[],3,FALSE)),(VLOOKUP(Data[[#This Row],[Product Family]],ProdFam[],2,FALSE))))</f>
        <v>72</v>
      </c>
      <c r="L1025" s="1">
        <v>193</v>
      </c>
      <c r="M1025" s="1">
        <v>1</v>
      </c>
      <c r="N1025" s="7">
        <f>IFERROR(Data[[#This Row],[Actual Time]]/Data[[#This Row],[QTY Complete]],"")</f>
        <v>193</v>
      </c>
      <c r="O1025" s="7">
        <f>IF(I1025=ProdFam[[#Headers],[Test]],(VLOOKUP(Data[[#This Row],[Product Family]],ProdFam[],3,FALSE)),(VLOOKUP(Data[[#This Row],[Product Family]],ProdFam[],2,FALSE)))</f>
        <v>24</v>
      </c>
    </row>
    <row r="1026" spans="2:15" x14ac:dyDescent="0.25">
      <c r="B1026" s="1">
        <f>WEEKNUM(Data[[#This Row],[Date]],1)</f>
        <v>4</v>
      </c>
      <c r="C1026" s="15">
        <f>YEAR(Data[[#This Row],[Date]])</f>
        <v>2020</v>
      </c>
      <c r="D1026" s="5">
        <v>43853</v>
      </c>
      <c r="E1026" s="1" t="s">
        <v>111</v>
      </c>
      <c r="F1026" s="1">
        <v>30286</v>
      </c>
      <c r="G1026" s="1" t="s">
        <v>25</v>
      </c>
      <c r="H1026" s="1" t="s">
        <v>113</v>
      </c>
      <c r="I1026" s="1" t="s">
        <v>1</v>
      </c>
      <c r="J1026" s="1">
        <v>2</v>
      </c>
      <c r="K1026" s="1">
        <f>J1026*(IF(I1026=ProdFam[[#Headers],[Test]],(VLOOKUP(Data[[#This Row],[Product Family]],ProdFam[],3,FALSE)),(VLOOKUP(Data[[#This Row],[Product Family]],ProdFam[],2,FALSE))))</f>
        <v>64</v>
      </c>
      <c r="L1026" s="1">
        <v>50</v>
      </c>
      <c r="M1026" s="1">
        <v>1</v>
      </c>
      <c r="N1026" s="7">
        <f>IFERROR(Data[[#This Row],[Actual Time]]/Data[[#This Row],[QTY Complete]],"")</f>
        <v>50</v>
      </c>
      <c r="O1026" s="7">
        <f>IF(I1026=ProdFam[[#Headers],[Test]],(VLOOKUP(Data[[#This Row],[Product Family]],ProdFam[],3,FALSE)),(VLOOKUP(Data[[#This Row],[Product Family]],ProdFam[],2,FALSE)))</f>
        <v>32</v>
      </c>
    </row>
    <row r="1027" spans="2:15" x14ac:dyDescent="0.25">
      <c r="B1027" s="1">
        <f>WEEKNUM(Data[[#This Row],[Date]],1)</f>
        <v>4</v>
      </c>
      <c r="C1027" s="15">
        <f>YEAR(Data[[#This Row],[Date]])</f>
        <v>2020</v>
      </c>
      <c r="D1027" s="5">
        <v>43853</v>
      </c>
      <c r="E1027" s="1" t="s">
        <v>128</v>
      </c>
      <c r="F1027" s="1">
        <v>66185</v>
      </c>
      <c r="G1027" s="1" t="s">
        <v>25</v>
      </c>
      <c r="H1027" s="1" t="s">
        <v>162</v>
      </c>
      <c r="I1027" s="1" t="s">
        <v>0</v>
      </c>
      <c r="J1027" s="1">
        <v>1</v>
      </c>
      <c r="K1027" s="1">
        <f>J1027*(IF(I1027=ProdFam[[#Headers],[Test]],(VLOOKUP(Data[[#This Row],[Product Family]],ProdFam[],3,FALSE)),(VLOOKUP(Data[[#This Row],[Product Family]],ProdFam[],2,FALSE))))</f>
        <v>10</v>
      </c>
      <c r="L1027" s="1">
        <v>14</v>
      </c>
      <c r="M1027" s="1">
        <v>1</v>
      </c>
      <c r="N1027" s="7">
        <f>IFERROR(Data[[#This Row],[Actual Time]]/Data[[#This Row],[QTY Complete]],"")</f>
        <v>14</v>
      </c>
      <c r="O1027" s="7">
        <f>IF(I1027=ProdFam[[#Headers],[Test]],(VLOOKUP(Data[[#This Row],[Product Family]],ProdFam[],3,FALSE)),(VLOOKUP(Data[[#This Row],[Product Family]],ProdFam[],2,FALSE)))</f>
        <v>10</v>
      </c>
    </row>
    <row r="1028" spans="2:15" x14ac:dyDescent="0.25">
      <c r="B1028" s="1">
        <f>WEEKNUM(Data[[#This Row],[Date]],1)</f>
        <v>4</v>
      </c>
      <c r="C1028" s="15">
        <f>YEAR(Data[[#This Row],[Date]])</f>
        <v>2020</v>
      </c>
      <c r="D1028" s="5">
        <v>43853</v>
      </c>
      <c r="E1028" s="1" t="s">
        <v>128</v>
      </c>
      <c r="F1028" s="1">
        <v>65722</v>
      </c>
      <c r="G1028" s="1" t="s">
        <v>50</v>
      </c>
      <c r="H1028" s="1" t="s">
        <v>162</v>
      </c>
      <c r="I1028" s="1" t="s">
        <v>0</v>
      </c>
      <c r="J1028" s="1">
        <v>1</v>
      </c>
      <c r="K1028" s="1">
        <f>J1028*(IF(I1028=ProdFam[[#Headers],[Test]],(VLOOKUP(Data[[#This Row],[Product Family]],ProdFam[],3,FALSE)),(VLOOKUP(Data[[#This Row],[Product Family]],ProdFam[],2,FALSE))))</f>
        <v>10</v>
      </c>
      <c r="L1028" s="1">
        <v>10</v>
      </c>
      <c r="M1028" s="1">
        <v>1</v>
      </c>
      <c r="N1028" s="7">
        <f>IFERROR(Data[[#This Row],[Actual Time]]/Data[[#This Row],[QTY Complete]],"")</f>
        <v>10</v>
      </c>
      <c r="O1028" s="7">
        <f>IF(I1028=ProdFam[[#Headers],[Test]],(VLOOKUP(Data[[#This Row],[Product Family]],ProdFam[],3,FALSE)),(VLOOKUP(Data[[#This Row],[Product Family]],ProdFam[],2,FALSE)))</f>
        <v>10</v>
      </c>
    </row>
    <row r="1029" spans="2:15" x14ac:dyDescent="0.25">
      <c r="B1029" s="1">
        <f>WEEKNUM(Data[[#This Row],[Date]],1)</f>
        <v>4</v>
      </c>
      <c r="C1029" s="15">
        <f>YEAR(Data[[#This Row],[Date]])</f>
        <v>2020</v>
      </c>
      <c r="D1029" s="5">
        <v>43853</v>
      </c>
      <c r="E1029" s="1" t="s">
        <v>128</v>
      </c>
      <c r="F1029" s="1">
        <v>65895</v>
      </c>
      <c r="G1029" s="1" t="s">
        <v>50</v>
      </c>
      <c r="H1029" s="1" t="s">
        <v>162</v>
      </c>
      <c r="I1029" s="1" t="s">
        <v>0</v>
      </c>
      <c r="J1029" s="1">
        <v>1</v>
      </c>
      <c r="K1029" s="1">
        <f>J1029*(IF(I1029=ProdFam[[#Headers],[Test]],(VLOOKUP(Data[[#This Row],[Product Family]],ProdFam[],3,FALSE)),(VLOOKUP(Data[[#This Row],[Product Family]],ProdFam[],2,FALSE))))</f>
        <v>10</v>
      </c>
      <c r="L1029" s="1">
        <v>6</v>
      </c>
      <c r="M1029" s="1">
        <v>1</v>
      </c>
      <c r="N1029" s="7">
        <f>IFERROR(Data[[#This Row],[Actual Time]]/Data[[#This Row],[QTY Complete]],"")</f>
        <v>6</v>
      </c>
      <c r="O1029" s="7">
        <f>IF(I1029=ProdFam[[#Headers],[Test]],(VLOOKUP(Data[[#This Row],[Product Family]],ProdFam[],3,FALSE)),(VLOOKUP(Data[[#This Row],[Product Family]],ProdFam[],2,FALSE)))</f>
        <v>10</v>
      </c>
    </row>
    <row r="1030" spans="2:15" x14ac:dyDescent="0.25">
      <c r="B1030" s="1">
        <f>WEEKNUM(Data[[#This Row],[Date]],1)</f>
        <v>4</v>
      </c>
      <c r="C1030" s="15">
        <f>YEAR(Data[[#This Row],[Date]])</f>
        <v>2020</v>
      </c>
      <c r="D1030" s="5">
        <v>43853</v>
      </c>
      <c r="E1030" s="1" t="s">
        <v>128</v>
      </c>
      <c r="F1030" s="1">
        <v>30449</v>
      </c>
      <c r="G1030" s="1" t="s">
        <v>46</v>
      </c>
      <c r="H1030" s="1" t="s">
        <v>162</v>
      </c>
      <c r="I1030" s="1" t="s">
        <v>0</v>
      </c>
      <c r="J1030" s="1">
        <v>1</v>
      </c>
      <c r="K1030" s="1">
        <f>J1030*(IF(I1030=ProdFam[[#Headers],[Test]],(VLOOKUP(Data[[#This Row],[Product Family]],ProdFam[],3,FALSE)),(VLOOKUP(Data[[#This Row],[Product Family]],ProdFam[],2,FALSE))))</f>
        <v>10</v>
      </c>
      <c r="L1030" s="1">
        <v>13</v>
      </c>
      <c r="M1030" s="1">
        <v>1</v>
      </c>
      <c r="N1030" s="7">
        <f>IFERROR(Data[[#This Row],[Actual Time]]/Data[[#This Row],[QTY Complete]],"")</f>
        <v>13</v>
      </c>
      <c r="O1030" s="7">
        <f>IF(I1030=ProdFam[[#Headers],[Test]],(VLOOKUP(Data[[#This Row],[Product Family]],ProdFam[],3,FALSE)),(VLOOKUP(Data[[#This Row],[Product Family]],ProdFam[],2,FALSE)))</f>
        <v>10</v>
      </c>
    </row>
    <row r="1031" spans="2:15" x14ac:dyDescent="0.25">
      <c r="B1031" s="1">
        <f>WEEKNUM(Data[[#This Row],[Date]],1)</f>
        <v>4</v>
      </c>
      <c r="C1031" s="15">
        <f>YEAR(Data[[#This Row],[Date]])</f>
        <v>2020</v>
      </c>
      <c r="D1031" s="5">
        <v>43853</v>
      </c>
      <c r="E1031" s="1" t="s">
        <v>128</v>
      </c>
      <c r="F1031" s="1">
        <v>65996</v>
      </c>
      <c r="G1031" s="1" t="s">
        <v>28</v>
      </c>
      <c r="H1031" s="1" t="s">
        <v>162</v>
      </c>
      <c r="I1031" s="1" t="s">
        <v>0</v>
      </c>
      <c r="J1031" s="1">
        <v>1</v>
      </c>
      <c r="K1031" s="1">
        <f>J1031*(IF(I1031=ProdFam[[#Headers],[Test]],(VLOOKUP(Data[[#This Row],[Product Family]],ProdFam[],3,FALSE)),(VLOOKUP(Data[[#This Row],[Product Family]],ProdFam[],2,FALSE))))</f>
        <v>10</v>
      </c>
      <c r="L1031" s="1">
        <v>10</v>
      </c>
      <c r="M1031" s="1">
        <v>1</v>
      </c>
      <c r="N1031" s="7">
        <f>IFERROR(Data[[#This Row],[Actual Time]]/Data[[#This Row],[QTY Complete]],"")</f>
        <v>10</v>
      </c>
      <c r="O1031" s="7">
        <f>IF(I1031=ProdFam[[#Headers],[Test]],(VLOOKUP(Data[[#This Row],[Product Family]],ProdFam[],3,FALSE)),(VLOOKUP(Data[[#This Row],[Product Family]],ProdFam[],2,FALSE)))</f>
        <v>10</v>
      </c>
    </row>
    <row r="1032" spans="2:15" x14ac:dyDescent="0.25">
      <c r="B1032" s="1">
        <f>WEEKNUM(Data[[#This Row],[Date]],1)</f>
        <v>4</v>
      </c>
      <c r="C1032" s="15">
        <f>YEAR(Data[[#This Row],[Date]])</f>
        <v>2020</v>
      </c>
      <c r="D1032" s="5">
        <v>43853</v>
      </c>
      <c r="E1032" s="1" t="s">
        <v>128</v>
      </c>
      <c r="F1032" s="1">
        <v>65189</v>
      </c>
      <c r="G1032" s="1" t="s">
        <v>50</v>
      </c>
      <c r="H1032" s="1" t="s">
        <v>162</v>
      </c>
      <c r="I1032" s="1" t="s">
        <v>0</v>
      </c>
      <c r="J1032" s="1">
        <v>3</v>
      </c>
      <c r="K1032" s="1">
        <f>J1032*(IF(I1032=ProdFam[[#Headers],[Test]],(VLOOKUP(Data[[#This Row],[Product Family]],ProdFam[],3,FALSE)),(VLOOKUP(Data[[#This Row],[Product Family]],ProdFam[],2,FALSE))))</f>
        <v>30</v>
      </c>
      <c r="L1032" s="1">
        <v>21</v>
      </c>
      <c r="M1032" s="1">
        <v>3</v>
      </c>
      <c r="N1032" s="7">
        <f>IFERROR(Data[[#This Row],[Actual Time]]/Data[[#This Row],[QTY Complete]],"")</f>
        <v>7</v>
      </c>
      <c r="O1032" s="7">
        <f>IF(I1032=ProdFam[[#Headers],[Test]],(VLOOKUP(Data[[#This Row],[Product Family]],ProdFam[],3,FALSE)),(VLOOKUP(Data[[#This Row],[Product Family]],ProdFam[],2,FALSE)))</f>
        <v>10</v>
      </c>
    </row>
    <row r="1033" spans="2:15" x14ac:dyDescent="0.25">
      <c r="B1033" s="1">
        <f>WEEKNUM(Data[[#This Row],[Date]],1)</f>
        <v>5</v>
      </c>
      <c r="C1033" s="15">
        <f>YEAR(Data[[#This Row],[Date]])</f>
        <v>2020</v>
      </c>
      <c r="D1033" s="5">
        <v>43859</v>
      </c>
      <c r="E1033" s="1" t="s">
        <v>122</v>
      </c>
      <c r="F1033" s="1">
        <v>30507</v>
      </c>
      <c r="G1033" s="1" t="s">
        <v>67</v>
      </c>
      <c r="H1033" s="1" t="s">
        <v>113</v>
      </c>
      <c r="I1033" s="1" t="s">
        <v>0</v>
      </c>
      <c r="J1033" s="1">
        <v>5</v>
      </c>
      <c r="K1033" s="1">
        <f>J1033*(IF(I1033=ProdFam[[#Headers],[Test]],(VLOOKUP(Data[[#This Row],[Product Family]],ProdFam[],3,FALSE)),(VLOOKUP(Data[[#This Row],[Product Family]],ProdFam[],2,FALSE))))</f>
        <v>235</v>
      </c>
      <c r="L1033" s="1">
        <v>72</v>
      </c>
      <c r="M1033" s="1">
        <v>5</v>
      </c>
      <c r="N1033" s="7">
        <f>IFERROR(Data[[#This Row],[Actual Time]]/Data[[#This Row],[QTY Complete]],"")</f>
        <v>14.4</v>
      </c>
      <c r="O1033" s="7">
        <f>IF(I1033=ProdFam[[#Headers],[Test]],(VLOOKUP(Data[[#This Row],[Product Family]],ProdFam[],3,FALSE)),(VLOOKUP(Data[[#This Row],[Product Family]],ProdFam[],2,FALSE)))</f>
        <v>47</v>
      </c>
    </row>
    <row r="1034" spans="2:15" x14ac:dyDescent="0.25">
      <c r="B1034" s="1">
        <f>WEEKNUM(Data[[#This Row],[Date]],1)</f>
        <v>5</v>
      </c>
      <c r="C1034" s="15">
        <f>YEAR(Data[[#This Row],[Date]])</f>
        <v>2020</v>
      </c>
      <c r="D1034" s="5">
        <v>43859</v>
      </c>
      <c r="E1034" s="1" t="s">
        <v>122</v>
      </c>
      <c r="F1034" s="1">
        <v>30613</v>
      </c>
      <c r="G1034" s="1" t="s">
        <v>159</v>
      </c>
      <c r="H1034" s="1" t="s">
        <v>112</v>
      </c>
      <c r="I1034" s="1" t="s">
        <v>0</v>
      </c>
      <c r="J1034" s="1">
        <v>15</v>
      </c>
      <c r="K1034" s="1">
        <f>J1034*(IF(I1034=ProdFam[[#Headers],[Test]],(VLOOKUP(Data[[#This Row],[Product Family]],ProdFam[],3,FALSE)),(VLOOKUP(Data[[#This Row],[Product Family]],ProdFam[],2,FALSE))))</f>
        <v>150</v>
      </c>
      <c r="L1034" s="1">
        <v>31</v>
      </c>
      <c r="M1034" s="1">
        <v>15</v>
      </c>
      <c r="N1034" s="7">
        <f>IFERROR(Data[[#This Row],[Actual Time]]/Data[[#This Row],[QTY Complete]],"")</f>
        <v>2.0666666666666669</v>
      </c>
      <c r="O1034" s="7">
        <f>IF(I1034=ProdFam[[#Headers],[Test]],(VLOOKUP(Data[[#This Row],[Product Family]],ProdFam[],3,FALSE)),(VLOOKUP(Data[[#This Row],[Product Family]],ProdFam[],2,FALSE)))</f>
        <v>10</v>
      </c>
    </row>
    <row r="1035" spans="2:15" x14ac:dyDescent="0.25">
      <c r="B1035" s="1">
        <f>WEEKNUM(Data[[#This Row],[Date]],1)</f>
        <v>5</v>
      </c>
      <c r="C1035" s="15">
        <f>YEAR(Data[[#This Row],[Date]])</f>
        <v>2020</v>
      </c>
      <c r="D1035" s="5">
        <v>43859</v>
      </c>
      <c r="E1035" s="1" t="s">
        <v>122</v>
      </c>
      <c r="F1035" s="1">
        <v>30574</v>
      </c>
      <c r="G1035" s="1" t="s">
        <v>5</v>
      </c>
      <c r="H1035" s="1" t="s">
        <v>112</v>
      </c>
      <c r="I1035" s="1" t="s">
        <v>0</v>
      </c>
      <c r="J1035" s="1">
        <v>6</v>
      </c>
      <c r="K1035" s="1">
        <f>J1035*(IF(I1035=ProdFam[[#Headers],[Test]],(VLOOKUP(Data[[#This Row],[Product Family]],ProdFam[],3,FALSE)),(VLOOKUP(Data[[#This Row],[Product Family]],ProdFam[],2,FALSE))))</f>
        <v>60</v>
      </c>
      <c r="L1035" s="1">
        <v>92</v>
      </c>
      <c r="M1035" s="1">
        <v>6</v>
      </c>
      <c r="N1035" s="7">
        <f>IFERROR(Data[[#This Row],[Actual Time]]/Data[[#This Row],[QTY Complete]],"")</f>
        <v>15.333333333333334</v>
      </c>
      <c r="O1035" s="7">
        <f>IF(I1035=ProdFam[[#Headers],[Test]],(VLOOKUP(Data[[#This Row],[Product Family]],ProdFam[],3,FALSE)),(VLOOKUP(Data[[#This Row],[Product Family]],ProdFam[],2,FALSE)))</f>
        <v>10</v>
      </c>
    </row>
    <row r="1036" spans="2:15" x14ac:dyDescent="0.25">
      <c r="B1036" s="1">
        <f>WEEKNUM(Data[[#This Row],[Date]],1)</f>
        <v>5</v>
      </c>
      <c r="C1036" s="15">
        <f>YEAR(Data[[#This Row],[Date]])</f>
        <v>2020</v>
      </c>
      <c r="D1036" s="5">
        <v>43859</v>
      </c>
      <c r="E1036" s="1" t="s">
        <v>122</v>
      </c>
      <c r="F1036" s="1">
        <v>30446</v>
      </c>
      <c r="G1036" s="1" t="s">
        <v>148</v>
      </c>
      <c r="H1036" s="1" t="s">
        <v>113</v>
      </c>
      <c r="I1036" s="1" t="s">
        <v>0</v>
      </c>
      <c r="J1036" s="1">
        <v>1</v>
      </c>
      <c r="K1036" s="1">
        <f>J1036*(IF(I1036=ProdFam[[#Headers],[Test]],(VLOOKUP(Data[[#This Row],[Product Family]],ProdFam[],3,FALSE)),(VLOOKUP(Data[[#This Row],[Product Family]],ProdFam[],2,FALSE))))</f>
        <v>47</v>
      </c>
      <c r="L1036" s="1">
        <v>80</v>
      </c>
      <c r="M1036" s="1">
        <v>1</v>
      </c>
      <c r="N1036" s="7">
        <f>IFERROR(Data[[#This Row],[Actual Time]]/Data[[#This Row],[QTY Complete]],"")</f>
        <v>80</v>
      </c>
      <c r="O1036" s="7">
        <f>IF(I1036=ProdFam[[#Headers],[Test]],(VLOOKUP(Data[[#This Row],[Product Family]],ProdFam[],3,FALSE)),(VLOOKUP(Data[[#This Row],[Product Family]],ProdFam[],2,FALSE)))</f>
        <v>47</v>
      </c>
    </row>
    <row r="1037" spans="2:15" x14ac:dyDescent="0.25">
      <c r="B1037" s="1">
        <f>WEEKNUM(Data[[#This Row],[Date]],1)</f>
        <v>5</v>
      </c>
      <c r="C1037" s="15">
        <f>YEAR(Data[[#This Row],[Date]])</f>
        <v>2020</v>
      </c>
      <c r="D1037" s="5">
        <v>43859</v>
      </c>
      <c r="E1037" s="1" t="s">
        <v>122</v>
      </c>
      <c r="F1037" s="1">
        <v>30575</v>
      </c>
      <c r="G1037" s="1" t="s">
        <v>35</v>
      </c>
      <c r="H1037" s="1" t="s">
        <v>112</v>
      </c>
      <c r="I1037" s="1" t="s">
        <v>0</v>
      </c>
      <c r="J1037" s="1">
        <v>16</v>
      </c>
      <c r="K1037" s="1">
        <f>J1037*(IF(I1037=ProdFam[[#Headers],[Test]],(VLOOKUP(Data[[#This Row],[Product Family]],ProdFam[],3,FALSE)),(VLOOKUP(Data[[#This Row],[Product Family]],ProdFam[],2,FALSE))))</f>
        <v>160</v>
      </c>
      <c r="L1037" s="1">
        <v>189</v>
      </c>
      <c r="M1037" s="1">
        <v>16</v>
      </c>
      <c r="N1037" s="7">
        <f>IFERROR(Data[[#This Row],[Actual Time]]/Data[[#This Row],[QTY Complete]],"")</f>
        <v>11.8125</v>
      </c>
      <c r="O1037" s="7">
        <f>IF(I1037=ProdFam[[#Headers],[Test]],(VLOOKUP(Data[[#This Row],[Product Family]],ProdFam[],3,FALSE)),(VLOOKUP(Data[[#This Row],[Product Family]],ProdFam[],2,FALSE)))</f>
        <v>10</v>
      </c>
    </row>
    <row r="1038" spans="2:15" x14ac:dyDescent="0.25">
      <c r="B1038" s="1">
        <f>WEEKNUM(Data[[#This Row],[Date]],1)</f>
        <v>4</v>
      </c>
      <c r="C1038" s="15">
        <f>YEAR(Data[[#This Row],[Date]])</f>
        <v>2020</v>
      </c>
      <c r="D1038" s="5">
        <v>43854</v>
      </c>
      <c r="E1038" s="1" t="s">
        <v>122</v>
      </c>
      <c r="F1038" s="1">
        <v>30499</v>
      </c>
      <c r="G1038" s="1" t="s">
        <v>21</v>
      </c>
      <c r="H1038" s="1" t="s">
        <v>123</v>
      </c>
      <c r="I1038" s="1" t="s">
        <v>0</v>
      </c>
      <c r="J1038" s="1">
        <v>10</v>
      </c>
      <c r="K1038" s="1">
        <f>J1038*(IF(I1038=ProdFam[[#Headers],[Test]],(VLOOKUP(Data[[#This Row],[Product Family]],ProdFam[],3,FALSE)),(VLOOKUP(Data[[#This Row],[Product Family]],ProdFam[],2,FALSE))))</f>
        <v>900</v>
      </c>
      <c r="L1038" s="1">
        <v>148</v>
      </c>
      <c r="M1038" s="1">
        <v>10</v>
      </c>
      <c r="N1038" s="7">
        <f>IFERROR(Data[[#This Row],[Actual Time]]/Data[[#This Row],[QTY Complete]],"")</f>
        <v>14.8</v>
      </c>
      <c r="O1038" s="7">
        <f>IF(I1038=ProdFam[[#Headers],[Test]],(VLOOKUP(Data[[#This Row],[Product Family]],ProdFam[],3,FALSE)),(VLOOKUP(Data[[#This Row],[Product Family]],ProdFam[],2,FALSE)))</f>
        <v>90</v>
      </c>
    </row>
    <row r="1039" spans="2:15" x14ac:dyDescent="0.25">
      <c r="B1039" s="1">
        <f>WEEKNUM(Data[[#This Row],[Date]],1)</f>
        <v>4</v>
      </c>
      <c r="C1039" s="15">
        <f>YEAR(Data[[#This Row],[Date]])</f>
        <v>2020</v>
      </c>
      <c r="D1039" s="5">
        <v>43854</v>
      </c>
      <c r="E1039" s="1" t="s">
        <v>122</v>
      </c>
      <c r="F1039" s="1">
        <v>30372</v>
      </c>
      <c r="G1039" s="1" t="s">
        <v>28</v>
      </c>
      <c r="H1039" s="1" t="s">
        <v>113</v>
      </c>
      <c r="I1039" s="1" t="s">
        <v>0</v>
      </c>
      <c r="J1039" s="1">
        <v>8</v>
      </c>
      <c r="K1039" s="1">
        <f>J1039*(IF(I1039=ProdFam[[#Headers],[Test]],(VLOOKUP(Data[[#This Row],[Product Family]],ProdFam[],3,FALSE)),(VLOOKUP(Data[[#This Row],[Product Family]],ProdFam[],2,FALSE))))</f>
        <v>376</v>
      </c>
      <c r="L1039" s="1">
        <v>166</v>
      </c>
      <c r="M1039" s="1">
        <v>8</v>
      </c>
      <c r="N1039" s="7">
        <f>IFERROR(Data[[#This Row],[Actual Time]]/Data[[#This Row],[QTY Complete]],"")</f>
        <v>20.75</v>
      </c>
      <c r="O1039" s="7">
        <f>IF(I1039=ProdFam[[#Headers],[Test]],(VLOOKUP(Data[[#This Row],[Product Family]],ProdFam[],3,FALSE)),(VLOOKUP(Data[[#This Row],[Product Family]],ProdFam[],2,FALSE)))</f>
        <v>47</v>
      </c>
    </row>
    <row r="1040" spans="2:15" x14ac:dyDescent="0.25">
      <c r="B1040" s="1">
        <f>WEEKNUM(Data[[#This Row],[Date]],1)</f>
        <v>5</v>
      </c>
      <c r="C1040" s="15">
        <f>YEAR(Data[[#This Row],[Date]])</f>
        <v>2020</v>
      </c>
      <c r="D1040" s="5">
        <v>43859</v>
      </c>
      <c r="E1040" s="1" t="s">
        <v>119</v>
      </c>
      <c r="F1040" s="1">
        <v>30620</v>
      </c>
      <c r="G1040" s="1" t="s">
        <v>63</v>
      </c>
      <c r="H1040" s="1" t="s">
        <v>115</v>
      </c>
      <c r="I1040" s="1" t="s">
        <v>1</v>
      </c>
      <c r="J1040" s="1">
        <v>22</v>
      </c>
      <c r="K1040" s="1">
        <f>J1040*(IF(I1040=ProdFam[[#Headers],[Test]],(VLOOKUP(Data[[#This Row],[Product Family]],ProdFam[],3,FALSE)),(VLOOKUP(Data[[#This Row],[Product Family]],ProdFam[],2,FALSE))))</f>
        <v>528</v>
      </c>
      <c r="L1040" s="1">
        <v>197</v>
      </c>
      <c r="M1040" s="1">
        <v>22</v>
      </c>
      <c r="N1040" s="7">
        <f>IFERROR(Data[[#This Row],[Actual Time]]/Data[[#This Row],[QTY Complete]],"")</f>
        <v>8.954545454545455</v>
      </c>
      <c r="O1040" s="7">
        <f>IF(I1040=ProdFam[[#Headers],[Test]],(VLOOKUP(Data[[#This Row],[Product Family]],ProdFam[],3,FALSE)),(VLOOKUP(Data[[#This Row],[Product Family]],ProdFam[],2,FALSE)))</f>
        <v>24</v>
      </c>
    </row>
    <row r="1041" spans="2:15" x14ac:dyDescent="0.25">
      <c r="B1041" s="1">
        <f>WEEKNUM(Data[[#This Row],[Date]],1)</f>
        <v>5</v>
      </c>
      <c r="C1041" s="15">
        <f>YEAR(Data[[#This Row],[Date]])</f>
        <v>2020</v>
      </c>
      <c r="D1041" s="5">
        <v>43859</v>
      </c>
      <c r="E1041" s="1" t="s">
        <v>119</v>
      </c>
      <c r="F1041" s="1">
        <v>30448</v>
      </c>
      <c r="G1041" s="1" t="s">
        <v>167</v>
      </c>
      <c r="H1041" s="1" t="s">
        <v>113</v>
      </c>
      <c r="I1041" s="1" t="s">
        <v>1</v>
      </c>
      <c r="J1041" s="1">
        <v>10</v>
      </c>
      <c r="K1041" s="1">
        <f>J1041*(IF(I1041=ProdFam[[#Headers],[Test]],(VLOOKUP(Data[[#This Row],[Product Family]],ProdFam[],3,FALSE)),(VLOOKUP(Data[[#This Row],[Product Family]],ProdFam[],2,FALSE))))</f>
        <v>320</v>
      </c>
      <c r="L1041" s="1">
        <v>203</v>
      </c>
      <c r="M1041" s="1">
        <v>10</v>
      </c>
      <c r="N1041" s="7">
        <f>IFERROR(Data[[#This Row],[Actual Time]]/Data[[#This Row],[QTY Complete]],"")</f>
        <v>20.3</v>
      </c>
      <c r="O1041" s="7">
        <f>IF(I1041=ProdFam[[#Headers],[Test]],(VLOOKUP(Data[[#This Row],[Product Family]],ProdFam[],3,FALSE)),(VLOOKUP(Data[[#This Row],[Product Family]],ProdFam[],2,FALSE)))</f>
        <v>32</v>
      </c>
    </row>
    <row r="1042" spans="2:15" x14ac:dyDescent="0.25">
      <c r="B1042" s="1">
        <f>WEEKNUM(Data[[#This Row],[Date]],1)</f>
        <v>5</v>
      </c>
      <c r="C1042" s="15">
        <f>YEAR(Data[[#This Row],[Date]])</f>
        <v>2020</v>
      </c>
      <c r="D1042" s="5">
        <v>43859</v>
      </c>
      <c r="E1042" s="1" t="s">
        <v>119</v>
      </c>
      <c r="F1042" s="1">
        <v>30507</v>
      </c>
      <c r="G1042" s="1" t="s">
        <v>67</v>
      </c>
      <c r="H1042" s="1" t="s">
        <v>113</v>
      </c>
      <c r="I1042" s="1" t="s">
        <v>1</v>
      </c>
      <c r="J1042" s="1">
        <v>5</v>
      </c>
      <c r="K1042" s="1">
        <f>J1042*(IF(I1042=ProdFam[[#Headers],[Test]],(VLOOKUP(Data[[#This Row],[Product Family]],ProdFam[],3,FALSE)),(VLOOKUP(Data[[#This Row],[Product Family]],ProdFam[],2,FALSE))))</f>
        <v>160</v>
      </c>
      <c r="L1042" s="1">
        <v>15</v>
      </c>
      <c r="M1042" s="1">
        <v>3</v>
      </c>
      <c r="N1042" s="7">
        <f>IFERROR(Data[[#This Row],[Actual Time]]/Data[[#This Row],[QTY Complete]],"")</f>
        <v>5</v>
      </c>
      <c r="O1042" s="7">
        <f>IF(I1042=ProdFam[[#Headers],[Test]],(VLOOKUP(Data[[#This Row],[Product Family]],ProdFam[],3,FALSE)),(VLOOKUP(Data[[#This Row],[Product Family]],ProdFam[],2,FALSE)))</f>
        <v>32</v>
      </c>
    </row>
    <row r="1043" spans="2:15" x14ac:dyDescent="0.25">
      <c r="B1043" s="1">
        <f>WEEKNUM(Data[[#This Row],[Date]],1)</f>
        <v>5</v>
      </c>
      <c r="C1043" s="15">
        <f>YEAR(Data[[#This Row],[Date]])</f>
        <v>2020</v>
      </c>
      <c r="D1043" s="5">
        <v>43859</v>
      </c>
      <c r="E1043" s="1" t="s">
        <v>118</v>
      </c>
      <c r="F1043" s="1">
        <v>30447</v>
      </c>
      <c r="G1043" s="1" t="s">
        <v>157</v>
      </c>
      <c r="H1043" s="1" t="s">
        <v>113</v>
      </c>
      <c r="I1043" s="1" t="s">
        <v>0</v>
      </c>
      <c r="J1043" s="1">
        <v>4</v>
      </c>
      <c r="K1043" s="1">
        <f>J1043*(IF(I1043=ProdFam[[#Headers],[Test]],(VLOOKUP(Data[[#This Row],[Product Family]],ProdFam[],3,FALSE)),(VLOOKUP(Data[[#This Row],[Product Family]],ProdFam[],2,FALSE))))</f>
        <v>188</v>
      </c>
      <c r="L1043" s="1">
        <v>198</v>
      </c>
      <c r="M1043" s="1">
        <v>4</v>
      </c>
      <c r="N1043" s="7">
        <f>IFERROR(Data[[#This Row],[Actual Time]]/Data[[#This Row],[QTY Complete]],"")</f>
        <v>49.5</v>
      </c>
      <c r="O1043" s="7">
        <f>IF(I1043=ProdFam[[#Headers],[Test]],(VLOOKUP(Data[[#This Row],[Product Family]],ProdFam[],3,FALSE)),(VLOOKUP(Data[[#This Row],[Product Family]],ProdFam[],2,FALSE)))</f>
        <v>47</v>
      </c>
    </row>
    <row r="1044" spans="2:15" x14ac:dyDescent="0.25">
      <c r="B1044" s="1">
        <f>WEEKNUM(Data[[#This Row],[Date]],1)</f>
        <v>5</v>
      </c>
      <c r="C1044" s="15">
        <f>YEAR(Data[[#This Row],[Date]])</f>
        <v>2020</v>
      </c>
      <c r="D1044" s="5">
        <v>43859</v>
      </c>
      <c r="E1044" s="1" t="s">
        <v>118</v>
      </c>
      <c r="F1044" s="1">
        <v>30614</v>
      </c>
      <c r="G1044" s="1" t="s">
        <v>75</v>
      </c>
      <c r="H1044" s="1" t="s">
        <v>112</v>
      </c>
      <c r="I1044" s="1" t="s">
        <v>0</v>
      </c>
      <c r="J1044" s="1">
        <v>21</v>
      </c>
      <c r="K1044" s="1">
        <f>J1044*(IF(I1044=ProdFam[[#Headers],[Test]],(VLOOKUP(Data[[#This Row],[Product Family]],ProdFam[],3,FALSE)),(VLOOKUP(Data[[#This Row],[Product Family]],ProdFam[],2,FALSE))))</f>
        <v>210</v>
      </c>
      <c r="L1044" s="1">
        <v>87</v>
      </c>
      <c r="M1044" s="1">
        <v>87</v>
      </c>
      <c r="N1044" s="7">
        <f>IFERROR(Data[[#This Row],[Actual Time]]/Data[[#This Row],[QTY Complete]],"")</f>
        <v>1</v>
      </c>
      <c r="O1044" s="7">
        <f>IF(I1044=ProdFam[[#Headers],[Test]],(VLOOKUP(Data[[#This Row],[Product Family]],ProdFam[],3,FALSE)),(VLOOKUP(Data[[#This Row],[Product Family]],ProdFam[],2,FALSE)))</f>
        <v>10</v>
      </c>
    </row>
    <row r="1045" spans="2:15" x14ac:dyDescent="0.25">
      <c r="B1045" s="1">
        <f>WEEKNUM(Data[[#This Row],[Date]],1)</f>
        <v>5</v>
      </c>
      <c r="C1045" s="15">
        <f>YEAR(Data[[#This Row],[Date]])</f>
        <v>2020</v>
      </c>
      <c r="D1045" s="5">
        <v>43859</v>
      </c>
      <c r="E1045" s="1" t="s">
        <v>118</v>
      </c>
      <c r="F1045" s="1">
        <v>30647</v>
      </c>
      <c r="G1045" s="1" t="s">
        <v>196</v>
      </c>
      <c r="H1045" s="1" t="s">
        <v>112</v>
      </c>
      <c r="I1045" s="1" t="s">
        <v>0</v>
      </c>
      <c r="J1045" s="1">
        <v>3</v>
      </c>
      <c r="K1045" s="1">
        <f>J1045*(IF(I1045=ProdFam[[#Headers],[Test]],(VLOOKUP(Data[[#This Row],[Product Family]],ProdFam[],3,FALSE)),(VLOOKUP(Data[[#This Row],[Product Family]],ProdFam[],2,FALSE))))</f>
        <v>30</v>
      </c>
      <c r="L1045" s="1">
        <v>30</v>
      </c>
      <c r="M1045" s="1">
        <v>3</v>
      </c>
      <c r="N1045" s="7">
        <f>IFERROR(Data[[#This Row],[Actual Time]]/Data[[#This Row],[QTY Complete]],"")</f>
        <v>10</v>
      </c>
      <c r="O1045" s="7">
        <f>IF(I1045=ProdFam[[#Headers],[Test]],(VLOOKUP(Data[[#This Row],[Product Family]],ProdFam[],3,FALSE)),(VLOOKUP(Data[[#This Row],[Product Family]],ProdFam[],2,FALSE)))</f>
        <v>10</v>
      </c>
    </row>
    <row r="1046" spans="2:15" x14ac:dyDescent="0.25">
      <c r="B1046" s="1">
        <f>WEEKNUM(Data[[#This Row],[Date]],1)</f>
        <v>5</v>
      </c>
      <c r="C1046" s="15">
        <f>YEAR(Data[[#This Row],[Date]])</f>
        <v>2020</v>
      </c>
      <c r="D1046" s="5">
        <v>43859</v>
      </c>
      <c r="E1046" s="1" t="s">
        <v>118</v>
      </c>
      <c r="F1046" s="1">
        <v>30641</v>
      </c>
      <c r="G1046" s="1" t="s">
        <v>139</v>
      </c>
      <c r="H1046" s="1" t="s">
        <v>112</v>
      </c>
      <c r="I1046" s="1" t="s">
        <v>0</v>
      </c>
      <c r="J1046" s="1">
        <v>4</v>
      </c>
      <c r="K1046" s="1">
        <f>J1046*(IF(I1046=ProdFam[[#Headers],[Test]],(VLOOKUP(Data[[#This Row],[Product Family]],ProdFam[],3,FALSE)),(VLOOKUP(Data[[#This Row],[Product Family]],ProdFam[],2,FALSE))))</f>
        <v>40</v>
      </c>
      <c r="L1046" s="1">
        <v>32</v>
      </c>
      <c r="M1046" s="1">
        <v>4</v>
      </c>
      <c r="N1046" s="7">
        <f>IFERROR(Data[[#This Row],[Actual Time]]/Data[[#This Row],[QTY Complete]],"")</f>
        <v>8</v>
      </c>
      <c r="O1046" s="7">
        <f>IF(I1046=ProdFam[[#Headers],[Test]],(VLOOKUP(Data[[#This Row],[Product Family]],ProdFam[],3,FALSE)),(VLOOKUP(Data[[#This Row],[Product Family]],ProdFam[],2,FALSE)))</f>
        <v>10</v>
      </c>
    </row>
    <row r="1047" spans="2:15" x14ac:dyDescent="0.25">
      <c r="B1047" s="1">
        <f>WEEKNUM(Data[[#This Row],[Date]],1)</f>
        <v>5</v>
      </c>
      <c r="C1047" s="15">
        <f>YEAR(Data[[#This Row],[Date]])</f>
        <v>2020</v>
      </c>
      <c r="D1047" s="5">
        <v>43859</v>
      </c>
      <c r="E1047" s="1" t="s">
        <v>118</v>
      </c>
      <c r="F1047" s="1">
        <v>30640</v>
      </c>
      <c r="G1047" s="1" t="s">
        <v>197</v>
      </c>
      <c r="H1047" s="1" t="s">
        <v>112</v>
      </c>
      <c r="I1047" s="1" t="s">
        <v>0</v>
      </c>
      <c r="J1047" s="1">
        <v>13</v>
      </c>
      <c r="K1047" s="1">
        <f>J1047*(IF(I1047=ProdFam[[#Headers],[Test]],(VLOOKUP(Data[[#This Row],[Product Family]],ProdFam[],3,FALSE)),(VLOOKUP(Data[[#This Row],[Product Family]],ProdFam[],2,FALSE))))</f>
        <v>130</v>
      </c>
      <c r="L1047" s="1">
        <v>31</v>
      </c>
      <c r="M1047" s="1">
        <v>13</v>
      </c>
      <c r="N1047" s="7">
        <f>IFERROR(Data[[#This Row],[Actual Time]]/Data[[#This Row],[QTY Complete]],"")</f>
        <v>2.3846153846153846</v>
      </c>
      <c r="O1047" s="7">
        <f>IF(I1047=ProdFam[[#Headers],[Test]],(VLOOKUP(Data[[#This Row],[Product Family]],ProdFam[],3,FALSE)),(VLOOKUP(Data[[#This Row],[Product Family]],ProdFam[],2,FALSE)))</f>
        <v>10</v>
      </c>
    </row>
    <row r="1048" spans="2:15" x14ac:dyDescent="0.25">
      <c r="B1048" s="1">
        <f>WEEKNUM(Data[[#This Row],[Date]],1)</f>
        <v>5</v>
      </c>
      <c r="C1048" s="15">
        <f>YEAR(Data[[#This Row],[Date]])</f>
        <v>2020</v>
      </c>
      <c r="D1048" s="5">
        <v>43859</v>
      </c>
      <c r="E1048" s="1" t="s">
        <v>128</v>
      </c>
      <c r="F1048" s="1">
        <v>30510</v>
      </c>
      <c r="G1048" s="1" t="s">
        <v>171</v>
      </c>
      <c r="H1048" s="1" t="s">
        <v>116</v>
      </c>
      <c r="I1048" s="1" t="s">
        <v>0</v>
      </c>
      <c r="J1048" s="1">
        <v>10</v>
      </c>
      <c r="K1048" s="1">
        <f>J1048*(IF(I1048=ProdFam[[#Headers],[Test]],(VLOOKUP(Data[[#This Row],[Product Family]],ProdFam[],3,FALSE)),(VLOOKUP(Data[[#This Row],[Product Family]],ProdFam[],2,FALSE))))</f>
        <v>50</v>
      </c>
      <c r="L1048" s="1">
        <v>147</v>
      </c>
      <c r="M1048" s="1">
        <v>4</v>
      </c>
      <c r="N1048" s="7">
        <f>IFERROR(Data[[#This Row],[Actual Time]]/Data[[#This Row],[QTY Complete]],"")</f>
        <v>36.75</v>
      </c>
      <c r="O1048" s="7">
        <f>IF(I1048=ProdFam[[#Headers],[Test]],(VLOOKUP(Data[[#This Row],[Product Family]],ProdFam[],3,FALSE)),(VLOOKUP(Data[[#This Row],[Product Family]],ProdFam[],2,FALSE)))</f>
        <v>5</v>
      </c>
    </row>
    <row r="1049" spans="2:15" x14ac:dyDescent="0.25">
      <c r="B1049" s="1">
        <f>WEEKNUM(Data[[#This Row],[Date]],1)</f>
        <v>5</v>
      </c>
      <c r="C1049" s="15">
        <f>YEAR(Data[[#This Row],[Date]])</f>
        <v>2020</v>
      </c>
      <c r="D1049" s="5">
        <v>43860</v>
      </c>
      <c r="E1049" s="1" t="s">
        <v>131</v>
      </c>
      <c r="F1049" s="1">
        <v>30572</v>
      </c>
      <c r="G1049" s="1" t="s">
        <v>16</v>
      </c>
      <c r="H1049" s="1" t="s">
        <v>113</v>
      </c>
      <c r="I1049" s="1" t="s">
        <v>0</v>
      </c>
      <c r="J1049" s="1">
        <v>4</v>
      </c>
      <c r="K1049" s="1">
        <f>J1049*(IF(I1049=ProdFam[[#Headers],[Test]],(VLOOKUP(Data[[#This Row],[Product Family]],ProdFam[],3,FALSE)),(VLOOKUP(Data[[#This Row],[Product Family]],ProdFam[],2,FALSE))))</f>
        <v>188</v>
      </c>
      <c r="L1049" s="1">
        <v>157</v>
      </c>
      <c r="M1049" s="1">
        <v>4</v>
      </c>
      <c r="N1049" s="7">
        <f>IFERROR(Data[[#This Row],[Actual Time]]/Data[[#This Row],[QTY Complete]],"")</f>
        <v>39.25</v>
      </c>
      <c r="O1049" s="7">
        <f>IF(I1049=ProdFam[[#Headers],[Test]],(VLOOKUP(Data[[#This Row],[Product Family]],ProdFam[],3,FALSE)),(VLOOKUP(Data[[#This Row],[Product Family]],ProdFam[],2,FALSE)))</f>
        <v>47</v>
      </c>
    </row>
    <row r="1050" spans="2:15" x14ac:dyDescent="0.25">
      <c r="B1050" s="1">
        <f>WEEKNUM(Data[[#This Row],[Date]],1)</f>
        <v>5</v>
      </c>
      <c r="C1050" s="15">
        <f>YEAR(Data[[#This Row],[Date]])</f>
        <v>2020</v>
      </c>
      <c r="D1050" s="5">
        <v>43859</v>
      </c>
      <c r="E1050" s="1" t="s">
        <v>117</v>
      </c>
      <c r="F1050" s="1">
        <v>30463</v>
      </c>
      <c r="G1050" s="1" t="s">
        <v>198</v>
      </c>
      <c r="H1050" s="1" t="s">
        <v>113</v>
      </c>
      <c r="I1050" s="1" t="s">
        <v>1</v>
      </c>
      <c r="J1050" s="1">
        <v>1</v>
      </c>
      <c r="K1050" s="1">
        <f>J1050*(IF(I1050=ProdFam[[#Headers],[Test]],(VLOOKUP(Data[[#This Row],[Product Family]],ProdFam[],3,FALSE)),(VLOOKUP(Data[[#This Row],[Product Family]],ProdFam[],2,FALSE))))</f>
        <v>32</v>
      </c>
      <c r="L1050" s="1">
        <v>38</v>
      </c>
      <c r="M1050" s="1">
        <v>1</v>
      </c>
      <c r="N1050" s="7">
        <f>IFERROR(Data[[#This Row],[Actual Time]]/Data[[#This Row],[QTY Complete]],"")</f>
        <v>38</v>
      </c>
      <c r="O1050" s="7">
        <f>IF(I1050=ProdFam[[#Headers],[Test]],(VLOOKUP(Data[[#This Row],[Product Family]],ProdFam[],3,FALSE)),(VLOOKUP(Data[[#This Row],[Product Family]],ProdFam[],2,FALSE)))</f>
        <v>32</v>
      </c>
    </row>
    <row r="1051" spans="2:15" x14ac:dyDescent="0.25">
      <c r="B1051" s="1">
        <f>WEEKNUM(Data[[#This Row],[Date]],1)</f>
        <v>5</v>
      </c>
      <c r="C1051" s="15">
        <f>YEAR(Data[[#This Row],[Date]])</f>
        <v>2020</v>
      </c>
      <c r="D1051" s="5">
        <v>43859</v>
      </c>
      <c r="E1051" s="1" t="s">
        <v>117</v>
      </c>
      <c r="F1051" s="1">
        <v>30466</v>
      </c>
      <c r="G1051" s="1" t="s">
        <v>17</v>
      </c>
      <c r="H1051" s="1" t="s">
        <v>113</v>
      </c>
      <c r="I1051" s="1" t="s">
        <v>1</v>
      </c>
      <c r="J1051" s="1">
        <v>1</v>
      </c>
      <c r="K1051" s="1">
        <f>J1051*(IF(I1051=ProdFam[[#Headers],[Test]],(VLOOKUP(Data[[#This Row],[Product Family]],ProdFam[],3,FALSE)),(VLOOKUP(Data[[#This Row],[Product Family]],ProdFam[],2,FALSE))))</f>
        <v>32</v>
      </c>
      <c r="L1051" s="1">
        <v>7</v>
      </c>
      <c r="M1051" s="1">
        <v>1</v>
      </c>
      <c r="N1051" s="7">
        <f>IFERROR(Data[[#This Row],[Actual Time]]/Data[[#This Row],[QTY Complete]],"")</f>
        <v>7</v>
      </c>
      <c r="O1051" s="7">
        <f>IF(I1051=ProdFam[[#Headers],[Test]],(VLOOKUP(Data[[#This Row],[Product Family]],ProdFam[],3,FALSE)),(VLOOKUP(Data[[#This Row],[Product Family]],ProdFam[],2,FALSE)))</f>
        <v>32</v>
      </c>
    </row>
    <row r="1052" spans="2:15" x14ac:dyDescent="0.25">
      <c r="B1052" s="1">
        <f>WEEKNUM(Data[[#This Row],[Date]],1)</f>
        <v>5</v>
      </c>
      <c r="C1052" s="15">
        <f>YEAR(Data[[#This Row],[Date]])</f>
        <v>2020</v>
      </c>
      <c r="D1052" s="5">
        <v>43860</v>
      </c>
      <c r="E1052" s="1" t="s">
        <v>117</v>
      </c>
      <c r="F1052" s="1">
        <v>30447</v>
      </c>
      <c r="G1052" s="1" t="s">
        <v>13</v>
      </c>
      <c r="H1052" s="1" t="s">
        <v>113</v>
      </c>
      <c r="I1052" s="1" t="s">
        <v>1</v>
      </c>
      <c r="J1052" s="1">
        <v>4</v>
      </c>
      <c r="K1052" s="1">
        <f>J1052*(IF(I1052=ProdFam[[#Headers],[Test]],(VLOOKUP(Data[[#This Row],[Product Family]],ProdFam[],3,FALSE)),(VLOOKUP(Data[[#This Row],[Product Family]],ProdFam[],2,FALSE))))</f>
        <v>128</v>
      </c>
      <c r="L1052" s="1">
        <v>28</v>
      </c>
      <c r="M1052" s="1">
        <v>4</v>
      </c>
      <c r="N1052" s="7">
        <f>IFERROR(Data[[#This Row],[Actual Time]]/Data[[#This Row],[QTY Complete]],"")</f>
        <v>7</v>
      </c>
      <c r="O1052" s="7">
        <f>IF(I1052=ProdFam[[#Headers],[Test]],(VLOOKUP(Data[[#This Row],[Product Family]],ProdFam[],3,FALSE)),(VLOOKUP(Data[[#This Row],[Product Family]],ProdFam[],2,FALSE)))</f>
        <v>32</v>
      </c>
    </row>
    <row r="1053" spans="2:15" x14ac:dyDescent="0.25">
      <c r="B1053" s="1">
        <f>WEEKNUM(Data[[#This Row],[Date]],1)</f>
        <v>5</v>
      </c>
      <c r="C1053" s="15">
        <f>YEAR(Data[[#This Row],[Date]])</f>
        <v>2020</v>
      </c>
      <c r="D1053" s="5">
        <v>43860</v>
      </c>
      <c r="E1053" s="1" t="s">
        <v>117</v>
      </c>
      <c r="F1053" s="1">
        <v>30641</v>
      </c>
      <c r="G1053" s="1" t="s">
        <v>199</v>
      </c>
      <c r="H1053" s="1" t="s">
        <v>115</v>
      </c>
      <c r="I1053" s="1" t="s">
        <v>1</v>
      </c>
      <c r="J1053" s="1">
        <v>4</v>
      </c>
      <c r="K1053" s="1">
        <f>J1053*(IF(I1053=ProdFam[[#Headers],[Test]],(VLOOKUP(Data[[#This Row],[Product Family]],ProdFam[],3,FALSE)),(VLOOKUP(Data[[#This Row],[Product Family]],ProdFam[],2,FALSE))))</f>
        <v>96</v>
      </c>
      <c r="L1053" s="1">
        <v>86</v>
      </c>
      <c r="M1053" s="1">
        <v>4</v>
      </c>
      <c r="N1053" s="7">
        <f>IFERROR(Data[[#This Row],[Actual Time]]/Data[[#This Row],[QTY Complete]],"")</f>
        <v>21.5</v>
      </c>
      <c r="O1053" s="7">
        <f>IF(I1053=ProdFam[[#Headers],[Test]],(VLOOKUP(Data[[#This Row],[Product Family]],ProdFam[],3,FALSE)),(VLOOKUP(Data[[#This Row],[Product Family]],ProdFam[],2,FALSE)))</f>
        <v>24</v>
      </c>
    </row>
    <row r="1054" spans="2:15" x14ac:dyDescent="0.25">
      <c r="B1054" s="1">
        <f>WEEKNUM(Data[[#This Row],[Date]],1)</f>
        <v>4</v>
      </c>
      <c r="C1054" s="15">
        <f>YEAR(Data[[#This Row],[Date]])</f>
        <v>2020</v>
      </c>
      <c r="D1054" s="5">
        <v>43854</v>
      </c>
      <c r="E1054" s="1" t="s">
        <v>128</v>
      </c>
      <c r="F1054" s="1">
        <v>65721</v>
      </c>
      <c r="G1054" s="1" t="s">
        <v>25</v>
      </c>
      <c r="H1054" s="1" t="s">
        <v>162</v>
      </c>
      <c r="I1054" s="1" t="s">
        <v>0</v>
      </c>
      <c r="J1054" s="1">
        <v>1</v>
      </c>
      <c r="K1054" s="1">
        <f>J1054*(IF(I1054=ProdFam[[#Headers],[Test]],(VLOOKUP(Data[[#This Row],[Product Family]],ProdFam[],3,FALSE)),(VLOOKUP(Data[[#This Row],[Product Family]],ProdFam[],2,FALSE))))</f>
        <v>10</v>
      </c>
      <c r="L1054" s="1">
        <v>20</v>
      </c>
      <c r="M1054" s="1">
        <v>1</v>
      </c>
      <c r="N1054" s="7">
        <f>IFERROR(Data[[#This Row],[Actual Time]]/Data[[#This Row],[QTY Complete]],"")</f>
        <v>20</v>
      </c>
      <c r="O1054" s="7">
        <f>IF(I1054=ProdFam[[#Headers],[Test]],(VLOOKUP(Data[[#This Row],[Product Family]],ProdFam[],3,FALSE)),(VLOOKUP(Data[[#This Row],[Product Family]],ProdFam[],2,FALSE)))</f>
        <v>10</v>
      </c>
    </row>
    <row r="1055" spans="2:15" x14ac:dyDescent="0.25">
      <c r="B1055" s="1">
        <f>WEEKNUM(Data[[#This Row],[Date]],1)</f>
        <v>4</v>
      </c>
      <c r="C1055" s="15">
        <f>YEAR(Data[[#This Row],[Date]])</f>
        <v>2020</v>
      </c>
      <c r="D1055" s="5">
        <v>43854</v>
      </c>
      <c r="E1055" s="1" t="s">
        <v>128</v>
      </c>
      <c r="F1055" s="1">
        <v>30449</v>
      </c>
      <c r="G1055" s="1" t="s">
        <v>191</v>
      </c>
      <c r="H1055" s="1" t="s">
        <v>162</v>
      </c>
      <c r="I1055" s="1" t="s">
        <v>0</v>
      </c>
      <c r="J1055" s="1">
        <v>2</v>
      </c>
      <c r="K1055" s="1">
        <f>J1055*(IF(I1055=ProdFam[[#Headers],[Test]],(VLOOKUP(Data[[#This Row],[Product Family]],ProdFam[],3,FALSE)),(VLOOKUP(Data[[#This Row],[Product Family]],ProdFam[],2,FALSE))))</f>
        <v>20</v>
      </c>
      <c r="L1055" s="1">
        <v>15</v>
      </c>
      <c r="M1055" s="1">
        <v>2</v>
      </c>
      <c r="N1055" s="7">
        <f>IFERROR(Data[[#This Row],[Actual Time]]/Data[[#This Row],[QTY Complete]],"")</f>
        <v>7.5</v>
      </c>
      <c r="O1055" s="7">
        <f>IF(I1055=ProdFam[[#Headers],[Test]],(VLOOKUP(Data[[#This Row],[Product Family]],ProdFam[],3,FALSE)),(VLOOKUP(Data[[#This Row],[Product Family]],ProdFam[],2,FALSE)))</f>
        <v>10</v>
      </c>
    </row>
    <row r="1056" spans="2:15" x14ac:dyDescent="0.25">
      <c r="B1056" s="1">
        <f>WEEKNUM(Data[[#This Row],[Date]],1)</f>
        <v>4</v>
      </c>
      <c r="C1056" s="15">
        <f>YEAR(Data[[#This Row],[Date]])</f>
        <v>2020</v>
      </c>
      <c r="D1056" s="5">
        <v>43854</v>
      </c>
      <c r="E1056" s="1" t="s">
        <v>128</v>
      </c>
      <c r="F1056" s="1">
        <v>30445</v>
      </c>
      <c r="G1056" s="1" t="s">
        <v>200</v>
      </c>
      <c r="H1056" s="1" t="s">
        <v>116</v>
      </c>
      <c r="I1056" s="1" t="s">
        <v>0</v>
      </c>
      <c r="J1056" s="1">
        <v>16</v>
      </c>
      <c r="K1056" s="1">
        <f>J1056*(IF(I1056=ProdFam[[#Headers],[Test]],(VLOOKUP(Data[[#This Row],[Product Family]],ProdFam[],3,FALSE)),(VLOOKUP(Data[[#This Row],[Product Family]],ProdFam[],2,FALSE))))</f>
        <v>80</v>
      </c>
      <c r="L1056" s="1">
        <v>146</v>
      </c>
      <c r="M1056" s="1">
        <v>5</v>
      </c>
      <c r="N1056" s="7">
        <f>IFERROR(Data[[#This Row],[Actual Time]]/Data[[#This Row],[QTY Complete]],"")</f>
        <v>29.2</v>
      </c>
      <c r="O1056" s="7">
        <f>IF(I1056=ProdFam[[#Headers],[Test]],(VLOOKUP(Data[[#This Row],[Product Family]],ProdFam[],3,FALSE)),(VLOOKUP(Data[[#This Row],[Product Family]],ProdFam[],2,FALSE)))</f>
        <v>5</v>
      </c>
    </row>
    <row r="1057" spans="2:15" x14ac:dyDescent="0.25">
      <c r="B1057" s="1">
        <f>WEEKNUM(Data[[#This Row],[Date]],1)</f>
        <v>4</v>
      </c>
      <c r="C1057" s="15">
        <f>YEAR(Data[[#This Row],[Date]])</f>
        <v>2020</v>
      </c>
      <c r="D1057" s="5">
        <v>43854</v>
      </c>
      <c r="E1057" s="1" t="s">
        <v>128</v>
      </c>
      <c r="F1057" s="1">
        <v>30445</v>
      </c>
      <c r="G1057" s="1" t="s">
        <v>12</v>
      </c>
      <c r="H1057" s="1" t="s">
        <v>116</v>
      </c>
      <c r="I1057" s="1" t="s">
        <v>0</v>
      </c>
      <c r="J1057" s="1">
        <v>11</v>
      </c>
      <c r="K1057" s="1">
        <f>J1057*(IF(I1057=ProdFam[[#Headers],[Test]],(VLOOKUP(Data[[#This Row],[Product Family]],ProdFam[],3,FALSE)),(VLOOKUP(Data[[#This Row],[Product Family]],ProdFam[],2,FALSE))))</f>
        <v>55</v>
      </c>
      <c r="L1057" s="1">
        <v>115</v>
      </c>
      <c r="M1057" s="1">
        <v>5</v>
      </c>
      <c r="N1057" s="7">
        <f>IFERROR(Data[[#This Row],[Actual Time]]/Data[[#This Row],[QTY Complete]],"")</f>
        <v>23</v>
      </c>
      <c r="O1057" s="7">
        <f>IF(I1057=ProdFam[[#Headers],[Test]],(VLOOKUP(Data[[#This Row],[Product Family]],ProdFam[],3,FALSE)),(VLOOKUP(Data[[#This Row],[Product Family]],ProdFam[],2,FALSE)))</f>
        <v>5</v>
      </c>
    </row>
    <row r="1058" spans="2:15" x14ac:dyDescent="0.25">
      <c r="B1058" s="1">
        <f>WEEKNUM(Data[[#This Row],[Date]],1)</f>
        <v>4</v>
      </c>
      <c r="C1058" s="15">
        <f>YEAR(Data[[#This Row],[Date]])</f>
        <v>2020</v>
      </c>
      <c r="D1058" s="5">
        <v>43854</v>
      </c>
      <c r="E1058" s="1" t="s">
        <v>128</v>
      </c>
      <c r="F1058" s="1">
        <v>65949</v>
      </c>
      <c r="G1058" s="1" t="s">
        <v>44</v>
      </c>
      <c r="H1058" s="1" t="s">
        <v>162</v>
      </c>
      <c r="I1058" s="1" t="s">
        <v>0</v>
      </c>
      <c r="J1058" s="1">
        <v>1</v>
      </c>
      <c r="K1058" s="1">
        <f>J1058*(IF(I1058=ProdFam[[#Headers],[Test]],(VLOOKUP(Data[[#This Row],[Product Family]],ProdFam[],3,FALSE)),(VLOOKUP(Data[[#This Row],[Product Family]],ProdFam[],2,FALSE))))</f>
        <v>10</v>
      </c>
      <c r="L1058" s="1">
        <v>10</v>
      </c>
      <c r="M1058" s="1">
        <v>1</v>
      </c>
      <c r="N1058" s="7">
        <f>IFERROR(Data[[#This Row],[Actual Time]]/Data[[#This Row],[QTY Complete]],"")</f>
        <v>10</v>
      </c>
      <c r="O1058" s="7">
        <f>IF(I1058=ProdFam[[#Headers],[Test]],(VLOOKUP(Data[[#This Row],[Product Family]],ProdFam[],3,FALSE)),(VLOOKUP(Data[[#This Row],[Product Family]],ProdFam[],2,FALSE)))</f>
        <v>10</v>
      </c>
    </row>
    <row r="1059" spans="2:15" x14ac:dyDescent="0.25">
      <c r="B1059" s="1">
        <f>WEEKNUM(Data[[#This Row],[Date]],1)</f>
        <v>4</v>
      </c>
      <c r="C1059" s="15">
        <f>YEAR(Data[[#This Row],[Date]])</f>
        <v>2020</v>
      </c>
      <c r="D1059" s="5">
        <v>43853</v>
      </c>
      <c r="E1059" s="1" t="s">
        <v>128</v>
      </c>
      <c r="F1059" s="1" t="s">
        <v>201</v>
      </c>
      <c r="G1059" s="1" t="s">
        <v>66</v>
      </c>
      <c r="H1059" s="1" t="s">
        <v>162</v>
      </c>
      <c r="I1059" s="1" t="s">
        <v>0</v>
      </c>
      <c r="J1059" s="1">
        <v>2</v>
      </c>
      <c r="K1059" s="1">
        <f>J1059*(IF(I1059=ProdFam[[#Headers],[Test]],(VLOOKUP(Data[[#This Row],[Product Family]],ProdFam[],3,FALSE)),(VLOOKUP(Data[[#This Row],[Product Family]],ProdFam[],2,FALSE))))</f>
        <v>20</v>
      </c>
      <c r="L1059" s="1">
        <v>24</v>
      </c>
      <c r="M1059" s="1">
        <v>2</v>
      </c>
      <c r="N1059" s="7">
        <f>IFERROR(Data[[#This Row],[Actual Time]]/Data[[#This Row],[QTY Complete]],"")</f>
        <v>12</v>
      </c>
      <c r="O1059" s="7">
        <f>IF(I1059=ProdFam[[#Headers],[Test]],(VLOOKUP(Data[[#This Row],[Product Family]],ProdFam[],3,FALSE)),(VLOOKUP(Data[[#This Row],[Product Family]],ProdFam[],2,FALSE)))</f>
        <v>10</v>
      </c>
    </row>
    <row r="1060" spans="2:15" x14ac:dyDescent="0.25">
      <c r="B1060" s="1">
        <f>WEEKNUM(Data[[#This Row],[Date]],1)</f>
        <v>4</v>
      </c>
      <c r="C1060" s="15">
        <f>YEAR(Data[[#This Row],[Date]])</f>
        <v>2020</v>
      </c>
      <c r="D1060" s="5">
        <v>43853</v>
      </c>
      <c r="E1060" s="1" t="s">
        <v>128</v>
      </c>
      <c r="F1060" s="1" t="s">
        <v>202</v>
      </c>
      <c r="G1060" s="1" t="s">
        <v>4</v>
      </c>
      <c r="H1060" s="1" t="s">
        <v>162</v>
      </c>
      <c r="I1060" s="1" t="s">
        <v>0</v>
      </c>
      <c r="J1060" s="1">
        <v>4</v>
      </c>
      <c r="K1060" s="1">
        <f>J1060*(IF(I1060=ProdFam[[#Headers],[Test]],(VLOOKUP(Data[[#This Row],[Product Family]],ProdFam[],3,FALSE)),(VLOOKUP(Data[[#This Row],[Product Family]],ProdFam[],2,FALSE))))</f>
        <v>40</v>
      </c>
      <c r="L1060" s="1">
        <v>13</v>
      </c>
      <c r="M1060" s="1">
        <v>4</v>
      </c>
      <c r="N1060" s="7">
        <f>IFERROR(Data[[#This Row],[Actual Time]]/Data[[#This Row],[QTY Complete]],"")</f>
        <v>3.25</v>
      </c>
      <c r="O1060" s="7">
        <f>IF(I1060=ProdFam[[#Headers],[Test]],(VLOOKUP(Data[[#This Row],[Product Family]],ProdFam[],3,FALSE)),(VLOOKUP(Data[[#This Row],[Product Family]],ProdFam[],2,FALSE)))</f>
        <v>10</v>
      </c>
    </row>
    <row r="1061" spans="2:15" x14ac:dyDescent="0.25">
      <c r="B1061" s="1">
        <f>WEEKNUM(Data[[#This Row],[Date]],1)</f>
        <v>4</v>
      </c>
      <c r="C1061" s="15">
        <f>YEAR(Data[[#This Row],[Date]])</f>
        <v>2020</v>
      </c>
      <c r="D1061" s="5">
        <v>43853</v>
      </c>
      <c r="E1061" s="1" t="s">
        <v>128</v>
      </c>
      <c r="F1061" s="1">
        <v>30500</v>
      </c>
      <c r="G1061" s="1" t="s">
        <v>203</v>
      </c>
      <c r="H1061" s="1" t="s">
        <v>162</v>
      </c>
      <c r="I1061" s="1" t="s">
        <v>0</v>
      </c>
      <c r="J1061" s="1">
        <v>5</v>
      </c>
      <c r="K1061" s="1">
        <f>J1061*(IF(I1061=ProdFam[[#Headers],[Test]],(VLOOKUP(Data[[#This Row],[Product Family]],ProdFam[],3,FALSE)),(VLOOKUP(Data[[#This Row],[Product Family]],ProdFam[],2,FALSE))))</f>
        <v>50</v>
      </c>
      <c r="L1061" s="1">
        <v>60</v>
      </c>
      <c r="M1061" s="1">
        <v>5</v>
      </c>
      <c r="N1061" s="7">
        <f>IFERROR(Data[[#This Row],[Actual Time]]/Data[[#This Row],[QTY Complete]],"")</f>
        <v>12</v>
      </c>
      <c r="O1061" s="7">
        <f>IF(I1061=ProdFam[[#Headers],[Test]],(VLOOKUP(Data[[#This Row],[Product Family]],ProdFam[],3,FALSE)),(VLOOKUP(Data[[#This Row],[Product Family]],ProdFam[],2,FALSE)))</f>
        <v>10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7FDB664-8861-41EC-8736-DE5F2C63107B}">
          <x14:formula1>
            <xm:f>Standard_Data!$H$3:$H$13</xm:f>
          </x14:formula1>
          <xm:sqref>E1273:E1013057</xm:sqref>
        </x14:dataValidation>
        <x14:dataValidation type="list" allowBlank="1" showInputMessage="1" showErrorMessage="1" xr:uid="{45DACD7D-5994-47DA-B8E9-C71221D02741}">
          <x14:formula1>
            <xm:f>Standard_Data!$H$3:$H$15</xm:f>
          </x14:formula1>
          <xm:sqref>E3:E679 E685:E1272</xm:sqref>
        </x14:dataValidation>
        <x14:dataValidation type="list" allowBlank="1" showInputMessage="1" showErrorMessage="1" xr:uid="{56C360B2-DE91-4C65-92CA-F781DB4AACEB}">
          <x14:formula1>
            <xm:f>Standard_Data!$B$4:$B$12</xm:f>
          </x14:formula1>
          <xm:sqref>H3:H964552</xm:sqref>
        </x14:dataValidation>
        <x14:dataValidation type="list" allowBlank="1" showInputMessage="1" showErrorMessage="1" xr:uid="{4565C0F9-06F7-4877-9AB9-ADF4B8F05AB8}">
          <x14:formula1>
            <xm:f>Standard_Data!$L$3:$L$4</xm:f>
          </x14:formula1>
          <xm:sqref>I3:I381079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95C28-BAE1-42C0-8114-97B0A403CAFE}">
  <sheetPr codeName="Sheet3"/>
  <dimension ref="B1:L32"/>
  <sheetViews>
    <sheetView workbookViewId="0">
      <selection activeCell="B27" sqref="B27"/>
    </sheetView>
  </sheetViews>
  <sheetFormatPr defaultRowHeight="15" x14ac:dyDescent="0.25"/>
  <cols>
    <col min="2" max="2" width="14.28515625" customWidth="1"/>
    <col min="3" max="3" width="11" customWidth="1"/>
    <col min="7" max="7" width="15.85546875" customWidth="1"/>
    <col min="8" max="8" width="13.5703125" customWidth="1"/>
    <col min="11" max="11" width="12.140625" customWidth="1"/>
  </cols>
  <sheetData>
    <row r="1" spans="2:12" ht="15.75" thickBot="1" x14ac:dyDescent="0.3"/>
    <row r="2" spans="2:12" ht="15.75" thickBot="1" x14ac:dyDescent="0.3">
      <c r="B2" s="34" t="s">
        <v>204</v>
      </c>
      <c r="C2" s="35"/>
      <c r="D2" s="36"/>
      <c r="G2" s="11" t="s">
        <v>205</v>
      </c>
      <c r="H2" s="12" t="s">
        <v>206</v>
      </c>
      <c r="I2" s="16" t="s">
        <v>207</v>
      </c>
      <c r="J2" s="16" t="s">
        <v>105</v>
      </c>
      <c r="L2" s="13" t="s">
        <v>103</v>
      </c>
    </row>
    <row r="3" spans="2:12" ht="15.75" thickBot="1" x14ac:dyDescent="0.3">
      <c r="B3" s="8" t="s">
        <v>208</v>
      </c>
      <c r="C3" s="9" t="s">
        <v>0</v>
      </c>
      <c r="D3" s="10" t="s">
        <v>1</v>
      </c>
      <c r="G3" s="4" t="s">
        <v>209</v>
      </c>
      <c r="H3" s="1" t="s">
        <v>210</v>
      </c>
      <c r="I3" s="1">
        <v>2400</v>
      </c>
      <c r="J3" s="1">
        <v>1800</v>
      </c>
      <c r="L3" t="s">
        <v>0</v>
      </c>
    </row>
    <row r="4" spans="2:12" x14ac:dyDescent="0.25">
      <c r="B4" s="3" t="s">
        <v>113</v>
      </c>
      <c r="C4">
        <v>47</v>
      </c>
      <c r="D4">
        <v>32</v>
      </c>
      <c r="G4" s="3" t="s">
        <v>211</v>
      </c>
      <c r="H4" s="1" t="s">
        <v>119</v>
      </c>
      <c r="I4" s="1">
        <v>2400</v>
      </c>
      <c r="J4" s="1">
        <v>1800</v>
      </c>
      <c r="L4" t="s">
        <v>1</v>
      </c>
    </row>
    <row r="5" spans="2:12" x14ac:dyDescent="0.25">
      <c r="B5" s="3" t="s">
        <v>115</v>
      </c>
      <c r="C5">
        <v>8</v>
      </c>
      <c r="D5">
        <v>24</v>
      </c>
      <c r="G5" s="3" t="s">
        <v>212</v>
      </c>
      <c r="H5" s="1" t="s">
        <v>111</v>
      </c>
      <c r="I5" s="1">
        <v>2400</v>
      </c>
      <c r="J5" s="1">
        <v>1800</v>
      </c>
    </row>
    <row r="6" spans="2:12" x14ac:dyDescent="0.25">
      <c r="B6" s="3" t="s">
        <v>112</v>
      </c>
      <c r="C6">
        <v>10</v>
      </c>
      <c r="D6">
        <v>10</v>
      </c>
      <c r="G6" s="3" t="s">
        <v>213</v>
      </c>
      <c r="H6" s="1" t="s">
        <v>127</v>
      </c>
      <c r="I6" s="1">
        <v>2400</v>
      </c>
      <c r="J6" s="1">
        <v>1800</v>
      </c>
    </row>
    <row r="7" spans="2:12" x14ac:dyDescent="0.25">
      <c r="B7" s="3" t="s">
        <v>162</v>
      </c>
      <c r="C7">
        <v>10</v>
      </c>
      <c r="D7">
        <v>10</v>
      </c>
      <c r="G7" s="3" t="s">
        <v>214</v>
      </c>
      <c r="H7" s="1" t="s">
        <v>122</v>
      </c>
      <c r="I7" s="1">
        <v>2400</v>
      </c>
      <c r="J7" s="1">
        <v>1800</v>
      </c>
    </row>
    <row r="8" spans="2:12" x14ac:dyDescent="0.25">
      <c r="B8" s="3" t="s">
        <v>129</v>
      </c>
      <c r="C8">
        <v>18</v>
      </c>
      <c r="D8">
        <v>45</v>
      </c>
      <c r="G8" s="3" t="s">
        <v>215</v>
      </c>
      <c r="H8" s="1" t="s">
        <v>118</v>
      </c>
      <c r="I8" s="1">
        <v>2400</v>
      </c>
      <c r="J8" s="1">
        <v>1800</v>
      </c>
    </row>
    <row r="9" spans="2:12" x14ac:dyDescent="0.25">
      <c r="B9" s="3" t="s">
        <v>125</v>
      </c>
      <c r="C9">
        <v>12</v>
      </c>
      <c r="D9">
        <v>45</v>
      </c>
      <c r="G9" s="3" t="s">
        <v>216</v>
      </c>
      <c r="H9" s="1" t="s">
        <v>217</v>
      </c>
      <c r="I9" s="1">
        <v>2400</v>
      </c>
      <c r="J9" s="1">
        <v>1800</v>
      </c>
    </row>
    <row r="10" spans="2:12" x14ac:dyDescent="0.25">
      <c r="B10" s="3" t="s">
        <v>123</v>
      </c>
      <c r="C10">
        <v>90</v>
      </c>
      <c r="D10">
        <v>45</v>
      </c>
      <c r="G10" s="3" t="s">
        <v>218</v>
      </c>
      <c r="H10" s="1" t="s">
        <v>114</v>
      </c>
      <c r="I10" s="1">
        <v>2400</v>
      </c>
      <c r="J10" s="1">
        <v>1800</v>
      </c>
    </row>
    <row r="11" spans="2:12" x14ac:dyDescent="0.25">
      <c r="B11" s="3" t="s">
        <v>116</v>
      </c>
      <c r="C11">
        <v>5</v>
      </c>
      <c r="D11">
        <v>5</v>
      </c>
      <c r="G11" s="3" t="s">
        <v>219</v>
      </c>
      <c r="H11" s="1" t="s">
        <v>117</v>
      </c>
      <c r="I11" s="1">
        <v>2400</v>
      </c>
      <c r="J11" s="1">
        <v>1800</v>
      </c>
    </row>
    <row r="12" spans="2:12" x14ac:dyDescent="0.25">
      <c r="B12" s="3" t="s">
        <v>132</v>
      </c>
      <c r="C12">
        <v>23</v>
      </c>
      <c r="D12">
        <v>5</v>
      </c>
      <c r="G12" s="3" t="s">
        <v>220</v>
      </c>
      <c r="H12" s="1" t="s">
        <v>221</v>
      </c>
      <c r="I12" s="1">
        <v>2400</v>
      </c>
      <c r="J12" s="1">
        <v>1800</v>
      </c>
    </row>
    <row r="13" spans="2:12" x14ac:dyDescent="0.25">
      <c r="G13" s="3" t="s">
        <v>222</v>
      </c>
      <c r="H13" s="1" t="s">
        <v>223</v>
      </c>
      <c r="I13" s="1">
        <v>2400</v>
      </c>
      <c r="J13" s="1">
        <v>1800</v>
      </c>
    </row>
    <row r="14" spans="2:12" x14ac:dyDescent="0.25">
      <c r="G14" s="3" t="s">
        <v>224</v>
      </c>
      <c r="H14" s="1" t="s">
        <v>131</v>
      </c>
      <c r="I14" s="1">
        <v>2400</v>
      </c>
      <c r="J14" s="1">
        <v>1800</v>
      </c>
    </row>
    <row r="15" spans="2:12" x14ac:dyDescent="0.25">
      <c r="G15" s="3" t="s">
        <v>225</v>
      </c>
      <c r="H15" s="1" t="s">
        <v>128</v>
      </c>
      <c r="I15" s="1">
        <v>2400</v>
      </c>
      <c r="J15" s="1">
        <v>1800</v>
      </c>
    </row>
    <row r="18" spans="2:8" x14ac:dyDescent="0.25">
      <c r="G18" s="14" t="s">
        <v>207</v>
      </c>
      <c r="H18" t="s">
        <v>105</v>
      </c>
    </row>
    <row r="19" spans="2:8" x14ac:dyDescent="0.25">
      <c r="G19">
        <f>40*60</f>
        <v>2400</v>
      </c>
      <c r="H19">
        <f>G19*75%</f>
        <v>1800</v>
      </c>
    </row>
    <row r="21" spans="2:8" ht="15.75" thickBot="1" x14ac:dyDescent="0.3"/>
    <row r="22" spans="2:8" x14ac:dyDescent="0.25">
      <c r="B22" s="34" t="s">
        <v>226</v>
      </c>
      <c r="C22" s="35"/>
      <c r="D22" s="36"/>
      <c r="E22" s="17"/>
    </row>
    <row r="23" spans="2:8" ht="15.75" thickBot="1" x14ac:dyDescent="0.3">
      <c r="B23" s="8" t="s">
        <v>208</v>
      </c>
      <c r="C23" s="9" t="s">
        <v>104</v>
      </c>
      <c r="D23" s="9" t="s">
        <v>227</v>
      </c>
    </row>
    <row r="24" spans="2:8" x14ac:dyDescent="0.25">
      <c r="B24" s="3" t="s">
        <v>113</v>
      </c>
      <c r="C24">
        <v>70</v>
      </c>
      <c r="D24">
        <f>(C4+D4)*ProdFam4[[#This Row],[QTY]]</f>
        <v>5530</v>
      </c>
    </row>
    <row r="25" spans="2:8" x14ac:dyDescent="0.25">
      <c r="B25" s="3" t="s">
        <v>115</v>
      </c>
      <c r="C25">
        <v>20</v>
      </c>
      <c r="D25">
        <f>(C5+D5)*ProdFam4[[#This Row],[QTY]]</f>
        <v>640</v>
      </c>
    </row>
    <row r="26" spans="2:8" x14ac:dyDescent="0.25">
      <c r="B26" s="3" t="s">
        <v>112</v>
      </c>
      <c r="C26">
        <v>91</v>
      </c>
      <c r="D26">
        <f>(C6+D6)*ProdFam4[[#This Row],[QTY]]</f>
        <v>1820</v>
      </c>
    </row>
    <row r="27" spans="2:8" x14ac:dyDescent="0.25">
      <c r="B27" s="3" t="s">
        <v>162</v>
      </c>
      <c r="C27">
        <v>70</v>
      </c>
      <c r="D27">
        <f>(C7+D7)*ProdFam4[[#This Row],[QTY]]</f>
        <v>1400</v>
      </c>
    </row>
    <row r="28" spans="2:8" x14ac:dyDescent="0.25">
      <c r="B28" s="3" t="s">
        <v>129</v>
      </c>
      <c r="C28">
        <v>2</v>
      </c>
      <c r="D28">
        <f>(C8+D8)*ProdFam4[[#This Row],[QTY]]</f>
        <v>126</v>
      </c>
    </row>
    <row r="29" spans="2:8" x14ac:dyDescent="0.25">
      <c r="B29" s="3" t="s">
        <v>125</v>
      </c>
      <c r="C29">
        <v>0.5</v>
      </c>
      <c r="D29">
        <f>(C9+D9)*ProdFam4[[#This Row],[QTY]]</f>
        <v>28.5</v>
      </c>
    </row>
    <row r="30" spans="2:8" x14ac:dyDescent="0.25">
      <c r="B30" s="3" t="s">
        <v>123</v>
      </c>
      <c r="C30">
        <v>5</v>
      </c>
      <c r="D30">
        <f>(C10+D10)*ProdFam4[[#This Row],[QTY]]</f>
        <v>675</v>
      </c>
    </row>
    <row r="31" spans="2:8" x14ac:dyDescent="0.25">
      <c r="B31" s="3" t="s">
        <v>116</v>
      </c>
      <c r="C31">
        <v>10</v>
      </c>
      <c r="D31">
        <f>(C11+D11)*ProdFam4[[#This Row],[QTY]]</f>
        <v>100</v>
      </c>
    </row>
    <row r="32" spans="2:8" x14ac:dyDescent="0.25">
      <c r="B32" s="3" t="s">
        <v>132</v>
      </c>
      <c r="C32">
        <v>1</v>
      </c>
      <c r="D32">
        <f>(C12+D12)*ProdFam4[[#This Row],[QTY]]</f>
        <v>28</v>
      </c>
    </row>
  </sheetData>
  <mergeCells count="2">
    <mergeCell ref="B2:D2"/>
    <mergeCell ref="B22:D22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01B09750920249B01783A113F37D1D" ma:contentTypeVersion="6" ma:contentTypeDescription="Create a new document." ma:contentTypeScope="" ma:versionID="f8700747d04981fbaeec29a400823aa8">
  <xsd:schema xmlns:xsd="http://www.w3.org/2001/XMLSchema" xmlns:xs="http://www.w3.org/2001/XMLSchema" xmlns:p="http://schemas.microsoft.com/office/2006/metadata/properties" xmlns:ns3="7e020f12-29c8-498a-96f6-59b9217c1213" targetNamespace="http://schemas.microsoft.com/office/2006/metadata/properties" ma:root="true" ma:fieldsID="5fe6dbbc77dcf63a0b36304ac48a20cd" ns3:_="">
    <xsd:import namespace="7e020f12-29c8-498a-96f6-59b9217c121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020f12-29c8-498a-96f6-59b9217c12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2CAB15-C279-436C-B7CC-108C19DB02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020f12-29c8-498a-96f6-59b9217c12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01671C-A894-484E-A13E-B31C006F345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DA3F87-769B-4DB1-AB07-5AE649EBE9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Data_Entry</vt:lpstr>
      <vt:lpstr>Standard_Data</vt:lpstr>
    </vt:vector>
  </TitlesOfParts>
  <Manager/>
  <Company>Orolia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Rodriguez</dc:creator>
  <cp:keywords/>
  <dc:description/>
  <cp:lastModifiedBy>Jose Rodriguez</cp:lastModifiedBy>
  <cp:revision/>
  <dcterms:created xsi:type="dcterms:W3CDTF">2019-10-21T16:56:26Z</dcterms:created>
  <dcterms:modified xsi:type="dcterms:W3CDTF">2020-04-28T14:29:27Z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0x0101005301B09750920249B01783A113F37D1D</vt:lpwstr>
  </property>
</Properties>
</file>